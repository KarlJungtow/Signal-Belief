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D-Aufbau\Experimente\infla-expectations\"/>
    </mc:Choice>
  </mc:AlternateContent>
  <xr:revisionPtr revIDLastSave="0" documentId="13_ncr:1_{C7336BD2-0171-42F2-A9E3-08B6E0424EF8}" xr6:coauthVersionLast="47" xr6:coauthVersionMax="47" xr10:uidLastSave="{00000000-0000-0000-0000-000000000000}"/>
  <bookViews>
    <workbookView xWindow="-98" yWindow="-98" windowWidth="19396" windowHeight="11475" xr2:uid="{706A3441-A0C7-4E83-9648-2AEF04F756F0}"/>
  </bookViews>
  <sheets>
    <sheet name="sample scree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" i="2" l="1"/>
  <c r="U16" i="2" s="1"/>
  <c r="U15" i="2"/>
  <c r="S15" i="2"/>
  <c r="U14" i="2"/>
  <c r="S14" i="2"/>
  <c r="U13" i="2"/>
  <c r="S13" i="2"/>
  <c r="U12" i="2"/>
  <c r="S12" i="2"/>
  <c r="U11" i="2"/>
  <c r="S11" i="2"/>
  <c r="U10" i="2"/>
  <c r="S10" i="2"/>
  <c r="U9" i="2"/>
  <c r="S9" i="2"/>
  <c r="U8" i="2"/>
  <c r="S8" i="2"/>
  <c r="U7" i="2"/>
  <c r="S7" i="2"/>
  <c r="U6" i="2"/>
  <c r="S6" i="2"/>
  <c r="U5" i="2"/>
  <c r="S5" i="2"/>
  <c r="AG61" i="2"/>
  <c r="AE61" i="2"/>
  <c r="AC59" i="2"/>
  <c r="AG59" i="2" s="1"/>
  <c r="AG58" i="2"/>
  <c r="AE58" i="2"/>
  <c r="AG57" i="2"/>
  <c r="AE57" i="2"/>
  <c r="AG56" i="2"/>
  <c r="AE56" i="2"/>
  <c r="AG55" i="2"/>
  <c r="AE55" i="2"/>
  <c r="AG54" i="2"/>
  <c r="AE54" i="2"/>
  <c r="AG53" i="2"/>
  <c r="AE53" i="2"/>
  <c r="AG52" i="2"/>
  <c r="AE52" i="2"/>
  <c r="AG51" i="2"/>
  <c r="AE51" i="2"/>
  <c r="AG50" i="2"/>
  <c r="AE50" i="2"/>
  <c r="AG49" i="2"/>
  <c r="AE49" i="2"/>
  <c r="AG48" i="2"/>
  <c r="AE48" i="2"/>
  <c r="AG37" i="2"/>
  <c r="AE37" i="2"/>
  <c r="AG36" i="2"/>
  <c r="AE36" i="2"/>
  <c r="AG35" i="2"/>
  <c r="AE35" i="2"/>
  <c r="AG34" i="2"/>
  <c r="AE34" i="2"/>
  <c r="AG33" i="2"/>
  <c r="AE33" i="2"/>
  <c r="AG32" i="2"/>
  <c r="AE32" i="2"/>
  <c r="AG31" i="2"/>
  <c r="AE31" i="2"/>
  <c r="AG30" i="2"/>
  <c r="AE30" i="2"/>
  <c r="AG29" i="2"/>
  <c r="AE29" i="2"/>
  <c r="AG28" i="2"/>
  <c r="AE28" i="2"/>
  <c r="AG27" i="2"/>
  <c r="AE27" i="2"/>
  <c r="AG40" i="2"/>
  <c r="AE40" i="2"/>
  <c r="AG19" i="2"/>
  <c r="AE19" i="2"/>
  <c r="AG16" i="2"/>
  <c r="AE16" i="2"/>
  <c r="AG15" i="2"/>
  <c r="AE15" i="2"/>
  <c r="AG14" i="2"/>
  <c r="AE14" i="2"/>
  <c r="AG13" i="2"/>
  <c r="AE13" i="2"/>
  <c r="AG12" i="2"/>
  <c r="AE12" i="2"/>
  <c r="AG11" i="2"/>
  <c r="AE11" i="2"/>
  <c r="AG10" i="2"/>
  <c r="AE10" i="2"/>
  <c r="AG9" i="2"/>
  <c r="AE9" i="2"/>
  <c r="AG8" i="2"/>
  <c r="AE8" i="2"/>
  <c r="AG7" i="2"/>
  <c r="AE7" i="2"/>
  <c r="AG6" i="2"/>
  <c r="AE6" i="2"/>
  <c r="U34" i="2"/>
  <c r="S34" i="2"/>
  <c r="U33" i="2"/>
  <c r="S33" i="2"/>
  <c r="U32" i="2"/>
  <c r="S32" i="2"/>
  <c r="U31" i="2"/>
  <c r="S31" i="2"/>
  <c r="U30" i="2"/>
  <c r="S30" i="2"/>
  <c r="U29" i="2"/>
  <c r="S29" i="2"/>
  <c r="U28" i="2"/>
  <c r="S28" i="2"/>
  <c r="U27" i="2"/>
  <c r="S27" i="2"/>
  <c r="U26" i="2"/>
  <c r="S26" i="2"/>
  <c r="U25" i="2"/>
  <c r="S25" i="2"/>
  <c r="U24" i="2"/>
  <c r="S24" i="2"/>
  <c r="U63" i="2"/>
  <c r="S63" i="2"/>
  <c r="U60" i="2"/>
  <c r="S60" i="2"/>
  <c r="U59" i="2"/>
  <c r="S59" i="2"/>
  <c r="U58" i="2"/>
  <c r="S58" i="2"/>
  <c r="U57" i="2"/>
  <c r="S57" i="2"/>
  <c r="U56" i="2"/>
  <c r="S56" i="2"/>
  <c r="U55" i="2"/>
  <c r="S55" i="2"/>
  <c r="U54" i="2"/>
  <c r="S54" i="2"/>
  <c r="U53" i="2"/>
  <c r="S53" i="2"/>
  <c r="U52" i="2"/>
  <c r="S52" i="2"/>
  <c r="U51" i="2"/>
  <c r="S51" i="2"/>
  <c r="U50" i="2"/>
  <c r="S50" i="2"/>
  <c r="G56" i="2"/>
  <c r="I56" i="2"/>
  <c r="G57" i="2"/>
  <c r="I57" i="2"/>
  <c r="G58" i="2"/>
  <c r="I58" i="2"/>
  <c r="G59" i="2"/>
  <c r="I59" i="2"/>
  <c r="G60" i="2"/>
  <c r="I60" i="2"/>
  <c r="G61" i="2"/>
  <c r="I61" i="2"/>
  <c r="G62" i="2"/>
  <c r="I62" i="2"/>
  <c r="G63" i="2"/>
  <c r="I63" i="2"/>
  <c r="G64" i="2"/>
  <c r="I64" i="2"/>
  <c r="G65" i="2"/>
  <c r="I65" i="2"/>
  <c r="G66" i="2"/>
  <c r="I66" i="2"/>
  <c r="G67" i="2"/>
  <c r="I67" i="2"/>
  <c r="G68" i="2"/>
  <c r="I68" i="2"/>
  <c r="G69" i="2"/>
  <c r="I69" i="2"/>
  <c r="G70" i="2"/>
  <c r="I70" i="2"/>
  <c r="G73" i="2"/>
  <c r="I73" i="2"/>
  <c r="I55" i="2"/>
  <c r="G55" i="2"/>
  <c r="G34" i="2"/>
  <c r="I34" i="2"/>
  <c r="G35" i="2"/>
  <c r="I35" i="2"/>
  <c r="G36" i="2"/>
  <c r="I36" i="2"/>
  <c r="G37" i="2"/>
  <c r="I37" i="2"/>
  <c r="G38" i="2"/>
  <c r="I38" i="2"/>
  <c r="G39" i="2"/>
  <c r="I39" i="2"/>
  <c r="G40" i="2"/>
  <c r="I40" i="2"/>
  <c r="G41" i="2"/>
  <c r="I41" i="2"/>
  <c r="G42" i="2"/>
  <c r="I42" i="2"/>
  <c r="G43" i="2"/>
  <c r="I43" i="2"/>
  <c r="G46" i="2"/>
  <c r="I46" i="2"/>
  <c r="I33" i="2"/>
  <c r="G33" i="2"/>
  <c r="AC17" i="2"/>
  <c r="AG17" i="2" s="1"/>
  <c r="AC38" i="2"/>
  <c r="AG38" i="2" s="1"/>
  <c r="Q35" i="2"/>
  <c r="U35" i="2" s="1"/>
  <c r="Q61" i="2"/>
  <c r="U61" i="2" s="1"/>
  <c r="S16" i="2" l="1"/>
  <c r="AE59" i="2"/>
  <c r="S35" i="2"/>
  <c r="AE38" i="2"/>
  <c r="S61" i="2"/>
  <c r="AE17" i="2"/>
  <c r="E71" i="2" l="1"/>
  <c r="E44" i="2"/>
  <c r="G44" i="2" l="1"/>
  <c r="I44" i="2"/>
  <c r="G71" i="2"/>
  <c r="I71" i="2"/>
</calcChain>
</file>

<file path=xl/sharedStrings.xml><?xml version="1.0" encoding="utf-8"?>
<sst xmlns="http://schemas.openxmlformats.org/spreadsheetml/2006/main" count="146" uniqueCount="35">
  <si>
    <t>Y1</t>
  </si>
  <si>
    <t>Y2</t>
  </si>
  <si>
    <t xml:space="preserve">C1 </t>
  </si>
  <si>
    <t>Your endowments in this round</t>
  </si>
  <si>
    <t>Your payoff points</t>
  </si>
  <si>
    <t>Confirm</t>
  </si>
  <si>
    <t>minimum C1</t>
  </si>
  <si>
    <t>maximum C1</t>
  </si>
  <si>
    <t>Insert your C1 consumption choice here:</t>
  </si>
  <si>
    <t>pop-up: If C1 &lt; 1: "You must consume at least 1 unit"</t>
  </si>
  <si>
    <t>pop-up: If C1 &gt; 17: "You can consume at most 17 units"</t>
  </si>
  <si>
    <t>Part 1</t>
  </si>
  <si>
    <t>Round 1</t>
  </si>
  <si>
    <t>get hint</t>
  </si>
  <si>
    <t>0.5</t>
  </si>
  <si>
    <t xml:space="preserve">Part 1 </t>
  </si>
  <si>
    <t>stated a probability of</t>
  </si>
  <si>
    <t>In this round, you just</t>
  </si>
  <si>
    <t xml:space="preserve">0.5 = 50%   </t>
  </si>
  <si>
    <t>Treatment A</t>
  </si>
  <si>
    <t xml:space="preserve">Comment: they can use the slider or </t>
  </si>
  <si>
    <t>type in the number directly</t>
  </si>
  <si>
    <t>pop-up: If C1 &gt; 12: "You can consume at most 12 units"</t>
  </si>
  <si>
    <t>Treatment B</t>
  </si>
  <si>
    <t xml:space="preserve">Part 2 </t>
  </si>
  <si>
    <t>Treatment C</t>
  </si>
  <si>
    <t>The probability for the</t>
  </si>
  <si>
    <r>
      <t>price P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= 2 is </t>
    </r>
  </si>
  <si>
    <r>
      <t>if P</t>
    </r>
    <r>
      <rPr>
        <vertAlign val="subscript"/>
        <sz val="11"/>
        <color rgb="FF0066FF"/>
        <rFont val="Calibri"/>
        <family val="2"/>
        <scheme val="minor"/>
      </rPr>
      <t>2</t>
    </r>
    <r>
      <rPr>
        <sz val="11"/>
        <color rgb="FF0066FF"/>
        <rFont val="Calibri"/>
        <family val="2"/>
        <scheme val="minor"/>
      </rPr>
      <t xml:space="preserve"> = 0.5</t>
    </r>
  </si>
  <si>
    <r>
      <t>if P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 2</t>
    </r>
  </si>
  <si>
    <r>
      <rPr>
        <sz val="11"/>
        <rFont val="Calibri"/>
        <family val="2"/>
        <scheme val="minor"/>
      </rPr>
      <t xml:space="preserve">to   </t>
    </r>
    <r>
      <rPr>
        <sz val="11"/>
        <color rgb="FFFF0000"/>
        <rFont val="Calibri"/>
        <family val="2"/>
        <scheme val="minor"/>
      </rPr>
      <t>P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= 2</t>
    </r>
  </si>
  <si>
    <r>
      <t>Probability that I attribute to the majority of dots being red (P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2)</t>
    </r>
  </si>
  <si>
    <t>You have just chosen C1 =</t>
  </si>
  <si>
    <t>Part 3</t>
  </si>
  <si>
    <t>Round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</si>
</sst>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FF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bscript"/>
      <sz val="11"/>
      <color rgb="FF0066FF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horizontal="right"/>
    </xf>
    <xf numFmtId="0" fontId="5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349250</xdr:colOff>
      <xdr:row>17</xdr:row>
      <xdr:rowOff>12700</xdr:rowOff>
    </xdr:from>
    <xdr:to>
      <xdr:col>4</xdr:col>
      <xdr:colOff>425450</xdr:colOff>
      <xdr:row>18</xdr:row>
      <xdr:rowOff>12700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310299DA-FCE2-46AF-B267-E22358992A64}"/>
            </a:ext>
          </a:extLst>
        </xdr:cNvPr>
        <xdr:cNvSpPr/>
      </xdr:nvSpPr>
      <xdr:spPr>
        <a:xfrm>
          <a:off x="2647950" y="1866900"/>
          <a:ext cx="76200" cy="184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349250</xdr:colOff>
      <xdr:row>38</xdr:row>
      <xdr:rowOff>12700</xdr:rowOff>
    </xdr:from>
    <xdr:to>
      <xdr:col>16</xdr:col>
      <xdr:colOff>425450</xdr:colOff>
      <xdr:row>39</xdr:row>
      <xdr:rowOff>12700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D569EE3B-5A7E-402F-87DA-D4119B487146}"/>
            </a:ext>
          </a:extLst>
        </xdr:cNvPr>
        <xdr:cNvSpPr/>
      </xdr:nvSpPr>
      <xdr:spPr>
        <a:xfrm>
          <a:off x="2647950" y="2051050"/>
          <a:ext cx="76200" cy="184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28</xdr:col>
      <xdr:colOff>349250</xdr:colOff>
      <xdr:row>64</xdr:row>
      <xdr:rowOff>12700</xdr:rowOff>
    </xdr:from>
    <xdr:to>
      <xdr:col>28</xdr:col>
      <xdr:colOff>425450</xdr:colOff>
      <xdr:row>65</xdr:row>
      <xdr:rowOff>12700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A1128A7A-97A8-44EF-A283-65CD1BFFE0AE}"/>
            </a:ext>
          </a:extLst>
        </xdr:cNvPr>
        <xdr:cNvSpPr/>
      </xdr:nvSpPr>
      <xdr:spPr>
        <a:xfrm>
          <a:off x="17184688" y="8418513"/>
          <a:ext cx="76200" cy="1857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FCDB-1C66-47D7-ADE9-D1AC88CCBA1B}">
  <dimension ref="A1:AH95"/>
  <sheetViews>
    <sheetView tabSelected="1" workbookViewId="0">
      <selection activeCell="K3" sqref="K3"/>
    </sheetView>
  </sheetViews>
  <sheetFormatPr baseColWidth="10" defaultRowHeight="14.25" x14ac:dyDescent="0.45"/>
  <cols>
    <col min="1" max="1" width="2.46484375" customWidth="1"/>
    <col min="2" max="2" width="10.9296875" customWidth="1"/>
    <col min="4" max="4" width="11.06640625" customWidth="1"/>
    <col min="6" max="6" width="4" customWidth="1"/>
    <col min="7" max="7" width="8.73046875" customWidth="1"/>
    <col min="8" max="8" width="2.796875" customWidth="1"/>
    <col min="9" max="9" width="9.06640625" customWidth="1"/>
    <col min="10" max="10" width="8.796875" style="4" customWidth="1"/>
    <col min="13" max="13" width="2.46484375" customWidth="1"/>
    <col min="16" max="16" width="11.06640625" customWidth="1"/>
    <col min="18" max="18" width="4" customWidth="1"/>
    <col min="19" max="19" width="8.73046875" customWidth="1"/>
    <col min="20" max="20" width="2.796875" customWidth="1"/>
    <col min="21" max="21" width="9.06640625" customWidth="1"/>
    <col min="22" max="22" width="8.796875" style="4" customWidth="1"/>
    <col min="25" max="25" width="2.46484375" customWidth="1"/>
    <col min="28" max="28" width="11.06640625" customWidth="1"/>
    <col min="30" max="30" width="4" customWidth="1"/>
    <col min="31" max="31" width="8.73046875" customWidth="1"/>
    <col min="32" max="32" width="2.796875" customWidth="1"/>
    <col min="33" max="33" width="9.06640625" customWidth="1"/>
    <col min="34" max="34" width="8.796875" style="4" customWidth="1"/>
  </cols>
  <sheetData>
    <row r="1" spans="1:34" x14ac:dyDescent="0.45">
      <c r="A1" s="12"/>
      <c r="B1" s="12"/>
      <c r="C1" s="12"/>
      <c r="D1" s="12"/>
      <c r="E1" s="12" t="s">
        <v>19</v>
      </c>
      <c r="F1" s="12"/>
      <c r="G1" s="12"/>
      <c r="H1" s="12"/>
      <c r="I1" s="12"/>
      <c r="J1" s="13"/>
      <c r="L1" s="1"/>
      <c r="M1" s="12"/>
      <c r="N1" s="12"/>
      <c r="O1" s="12"/>
      <c r="P1" s="12"/>
      <c r="Q1" s="12" t="s">
        <v>23</v>
      </c>
      <c r="R1" s="12"/>
      <c r="S1" s="12"/>
      <c r="T1" s="12"/>
      <c r="U1" s="12"/>
      <c r="V1" s="13"/>
      <c r="Y1" s="12"/>
      <c r="Z1" s="12"/>
      <c r="AA1" s="12"/>
      <c r="AB1" s="12"/>
      <c r="AC1" s="12" t="s">
        <v>25</v>
      </c>
      <c r="AD1" s="12"/>
      <c r="AE1" s="12"/>
      <c r="AF1" s="12"/>
      <c r="AG1" s="12"/>
      <c r="AH1" s="13"/>
    </row>
    <row r="2" spans="1:34" s="1" customFormat="1" x14ac:dyDescent="0.45">
      <c r="A2" s="6"/>
      <c r="B2" s="6" t="s">
        <v>11</v>
      </c>
      <c r="C2" s="6" t="s">
        <v>12</v>
      </c>
      <c r="D2" s="6"/>
      <c r="E2" s="6"/>
      <c r="F2" s="6"/>
      <c r="G2" s="6"/>
      <c r="H2" s="6"/>
      <c r="I2" s="6"/>
      <c r="J2" s="6"/>
      <c r="M2" s="6"/>
      <c r="N2" s="6" t="s">
        <v>24</v>
      </c>
      <c r="O2" s="6" t="s">
        <v>12</v>
      </c>
      <c r="P2" s="6"/>
      <c r="Q2" s="6"/>
      <c r="R2" s="6"/>
      <c r="S2" s="6"/>
      <c r="T2" s="6" t="s">
        <v>4</v>
      </c>
      <c r="U2" s="6"/>
      <c r="V2" s="6"/>
      <c r="Y2" s="6"/>
      <c r="Z2" s="6" t="s">
        <v>33</v>
      </c>
      <c r="AA2" s="6" t="s">
        <v>12</v>
      </c>
      <c r="AB2" s="6"/>
      <c r="AC2" s="6"/>
      <c r="AD2" s="6"/>
      <c r="AE2" s="19"/>
      <c r="AF2" s="6"/>
      <c r="AG2" s="21"/>
      <c r="AH2" s="6"/>
    </row>
    <row r="3" spans="1:34" s="1" customFormat="1" ht="15.75" x14ac:dyDescent="0.55000000000000004">
      <c r="A3" s="6"/>
      <c r="B3" s="6"/>
      <c r="C3" s="6"/>
      <c r="D3" s="6"/>
      <c r="E3" s="6"/>
      <c r="F3" s="6"/>
      <c r="G3" s="6"/>
      <c r="H3" s="6"/>
      <c r="I3" s="6"/>
      <c r="J3" s="6"/>
      <c r="M3" s="6"/>
      <c r="N3" s="5" t="s">
        <v>3</v>
      </c>
      <c r="O3" s="6"/>
      <c r="P3" s="6"/>
      <c r="Q3" s="7" t="s">
        <v>2</v>
      </c>
      <c r="R3" s="7"/>
      <c r="S3" s="18" t="s">
        <v>28</v>
      </c>
      <c r="T3" s="7"/>
      <c r="U3" s="20" t="s">
        <v>29</v>
      </c>
      <c r="V3" s="6"/>
      <c r="Y3" s="5"/>
      <c r="Z3" s="5" t="s">
        <v>3</v>
      </c>
      <c r="AA3" s="6"/>
      <c r="AB3" s="6"/>
      <c r="AC3" s="6"/>
      <c r="AD3" s="6"/>
      <c r="AE3" s="6"/>
      <c r="AF3" s="6" t="s">
        <v>4</v>
      </c>
      <c r="AG3" s="6"/>
      <c r="AH3" s="6"/>
    </row>
    <row r="4" spans="1:34" s="1" customFormat="1" ht="15.75" x14ac:dyDescent="0.55000000000000004">
      <c r="A4" s="6"/>
      <c r="B4" s="6"/>
      <c r="C4" s="6"/>
      <c r="D4" s="6"/>
      <c r="E4" s="6"/>
      <c r="F4" s="6"/>
      <c r="G4" s="6"/>
      <c r="H4" s="6"/>
      <c r="I4" s="6"/>
      <c r="J4" s="6"/>
      <c r="M4" s="6"/>
      <c r="N4" s="6" t="s">
        <v>0</v>
      </c>
      <c r="O4" s="6" t="s">
        <v>1</v>
      </c>
      <c r="P4" s="6"/>
      <c r="Q4" s="6"/>
      <c r="R4" s="6"/>
      <c r="S4" s="19"/>
      <c r="T4" s="6"/>
      <c r="U4" s="21"/>
      <c r="V4" s="6"/>
      <c r="Y4" s="6"/>
      <c r="Z4" s="6" t="s">
        <v>0</v>
      </c>
      <c r="AA4" s="6" t="s">
        <v>1</v>
      </c>
      <c r="AB4" s="6"/>
      <c r="AC4" s="7" t="s">
        <v>2</v>
      </c>
      <c r="AD4" s="7"/>
      <c r="AE4" s="18" t="s">
        <v>28</v>
      </c>
      <c r="AF4" s="7"/>
      <c r="AG4" s="20" t="s">
        <v>29</v>
      </c>
      <c r="AH4" s="6"/>
    </row>
    <row r="5" spans="1:34" s="1" customFormat="1" x14ac:dyDescent="0.45">
      <c r="A5" s="6"/>
      <c r="B5" s="6"/>
      <c r="C5" s="6"/>
      <c r="D5" s="6"/>
      <c r="E5" s="6"/>
      <c r="F5" s="6"/>
      <c r="G5" s="6"/>
      <c r="H5" s="6"/>
      <c r="I5" s="6"/>
      <c r="J5" s="6"/>
      <c r="M5" s="6"/>
      <c r="N5" s="6">
        <v>5</v>
      </c>
      <c r="O5" s="6">
        <v>15</v>
      </c>
      <c r="P5" s="6" t="s">
        <v>6</v>
      </c>
      <c r="Q5" s="6">
        <v>1</v>
      </c>
      <c r="R5" s="6"/>
      <c r="S5" s="19">
        <f>Q5*((5-Q5)/0.5+15)</f>
        <v>23</v>
      </c>
      <c r="T5" s="6"/>
      <c r="U5" s="21">
        <f>Q5*((5-Q5)/2+15)</f>
        <v>17</v>
      </c>
      <c r="V5" s="6"/>
      <c r="Y5" s="6"/>
      <c r="Z5" s="6">
        <v>5</v>
      </c>
      <c r="AA5" s="6">
        <v>15</v>
      </c>
      <c r="AB5" s="6"/>
      <c r="AC5" s="6"/>
      <c r="AD5" s="6"/>
      <c r="AE5" s="19"/>
      <c r="AF5" s="6"/>
      <c r="AG5" s="21"/>
      <c r="AH5" s="6"/>
    </row>
    <row r="6" spans="1:34" s="1" customFormat="1" ht="14.65" thickBot="1" x14ac:dyDescent="0.5">
      <c r="A6" s="6"/>
      <c r="B6" s="6"/>
      <c r="C6" s="6"/>
      <c r="D6" s="6"/>
      <c r="E6" s="6"/>
      <c r="F6" s="6"/>
      <c r="G6" s="6"/>
      <c r="H6" s="6"/>
      <c r="I6" s="6"/>
      <c r="J6" s="6"/>
      <c r="M6" s="6"/>
      <c r="N6" s="5"/>
      <c r="O6" s="6"/>
      <c r="P6" s="6"/>
      <c r="Q6" s="6">
        <v>2</v>
      </c>
      <c r="R6" s="6"/>
      <c r="S6" s="19">
        <f t="shared" ref="S6:S16" si="0">Q6*((5-Q6)/0.5+15)</f>
        <v>42</v>
      </c>
      <c r="T6" s="6"/>
      <c r="U6" s="21">
        <f t="shared" ref="U6:U16" si="1">Q6*((5-Q6)/2+15)</f>
        <v>33</v>
      </c>
      <c r="V6" s="6"/>
      <c r="Y6" s="5"/>
      <c r="Z6" s="5"/>
      <c r="AA6" s="6"/>
      <c r="AB6" s="6" t="s">
        <v>6</v>
      </c>
      <c r="AC6" s="6">
        <v>1</v>
      </c>
      <c r="AD6" s="6"/>
      <c r="AE6" s="19">
        <f>AC6*((5-AC6)/0.5+15)</f>
        <v>23</v>
      </c>
      <c r="AF6" s="6"/>
      <c r="AG6" s="21">
        <f>AC6*((5-AC6)/2+15)</f>
        <v>17</v>
      </c>
      <c r="AH6" s="6"/>
    </row>
    <row r="7" spans="1:34" s="1" customFormat="1" ht="14.65" thickBot="1" x14ac:dyDescent="0.5">
      <c r="A7" s="6"/>
      <c r="B7" s="6"/>
      <c r="C7" s="6"/>
      <c r="D7" s="6"/>
      <c r="E7" s="15" t="s">
        <v>13</v>
      </c>
      <c r="F7" s="6"/>
      <c r="G7" s="6"/>
      <c r="H7" s="6"/>
      <c r="I7" s="6"/>
      <c r="J7" s="6"/>
      <c r="M7" s="6"/>
      <c r="N7" s="5"/>
      <c r="O7" s="6"/>
      <c r="P7" s="6"/>
      <c r="Q7" s="6">
        <v>3</v>
      </c>
      <c r="R7" s="6"/>
      <c r="S7" s="19">
        <f t="shared" si="0"/>
        <v>57</v>
      </c>
      <c r="T7" s="6"/>
      <c r="U7" s="21">
        <f t="shared" si="1"/>
        <v>48</v>
      </c>
      <c r="V7" s="6"/>
      <c r="Y7" s="5"/>
      <c r="Z7" s="5"/>
      <c r="AA7" s="6"/>
      <c r="AB7" s="6"/>
      <c r="AC7" s="6">
        <v>2</v>
      </c>
      <c r="AD7" s="6"/>
      <c r="AE7" s="19">
        <f t="shared" ref="AE7:AE17" si="2">AC7*((5-AC7)/0.5+15)</f>
        <v>42</v>
      </c>
      <c r="AF7" s="6"/>
      <c r="AG7" s="21">
        <f t="shared" ref="AG7:AG17" si="3">AC7*((5-AC7)/2+15)</f>
        <v>33</v>
      </c>
      <c r="AH7" s="6"/>
    </row>
    <row r="8" spans="1:34" s="1" customForma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M8" s="6"/>
      <c r="N8" s="5"/>
      <c r="O8" s="6"/>
      <c r="P8" s="6"/>
      <c r="Q8" s="6">
        <v>4</v>
      </c>
      <c r="R8" s="6"/>
      <c r="S8" s="19">
        <f t="shared" si="0"/>
        <v>68</v>
      </c>
      <c r="T8" s="6"/>
      <c r="U8" s="21">
        <f t="shared" si="1"/>
        <v>62</v>
      </c>
      <c r="V8" s="6"/>
      <c r="Y8" s="5"/>
      <c r="Z8" s="5" t="s">
        <v>26</v>
      </c>
      <c r="AA8" s="6"/>
      <c r="AB8" s="6"/>
      <c r="AC8" s="6">
        <v>3</v>
      </c>
      <c r="AD8" s="6"/>
      <c r="AE8" s="19">
        <f t="shared" si="2"/>
        <v>57</v>
      </c>
      <c r="AF8" s="6"/>
      <c r="AG8" s="21">
        <f t="shared" si="3"/>
        <v>48</v>
      </c>
      <c r="AH8" s="6"/>
    </row>
    <row r="9" spans="1:34" s="1" customFormat="1" ht="15.75" x14ac:dyDescent="0.55000000000000004">
      <c r="A9" s="12"/>
      <c r="B9" s="12"/>
      <c r="C9" s="12"/>
      <c r="D9" s="12"/>
      <c r="E9" s="12"/>
      <c r="F9" s="12"/>
      <c r="G9" s="12"/>
      <c r="H9" s="12"/>
      <c r="I9" s="12"/>
      <c r="J9" s="13"/>
      <c r="M9" s="6"/>
      <c r="N9" s="8"/>
      <c r="O9" s="6"/>
      <c r="P9" s="6"/>
      <c r="Q9" s="6">
        <v>5</v>
      </c>
      <c r="R9" s="6"/>
      <c r="S9" s="19">
        <f t="shared" si="0"/>
        <v>75</v>
      </c>
      <c r="T9" s="6"/>
      <c r="U9" s="21">
        <f t="shared" si="1"/>
        <v>75</v>
      </c>
      <c r="V9" s="6"/>
      <c r="Y9" s="8"/>
      <c r="Z9" s="8" t="s">
        <v>27</v>
      </c>
      <c r="AA9" s="6"/>
      <c r="AB9" s="6"/>
      <c r="AC9" s="6">
        <v>4</v>
      </c>
      <c r="AD9" s="6"/>
      <c r="AE9" s="19">
        <f t="shared" si="2"/>
        <v>68</v>
      </c>
      <c r="AF9" s="6"/>
      <c r="AG9" s="21">
        <f t="shared" si="3"/>
        <v>62</v>
      </c>
      <c r="AH9" s="6"/>
    </row>
    <row r="10" spans="1:34" s="1" customForma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M10" s="6"/>
      <c r="N10" s="8"/>
      <c r="O10" s="9"/>
      <c r="P10" s="6"/>
      <c r="Q10" s="6">
        <v>6</v>
      </c>
      <c r="R10" s="6"/>
      <c r="S10" s="19">
        <f t="shared" si="0"/>
        <v>78</v>
      </c>
      <c r="T10" s="6"/>
      <c r="U10" s="21">
        <f t="shared" si="1"/>
        <v>87</v>
      </c>
      <c r="V10" s="6"/>
      <c r="Y10" s="8"/>
      <c r="Z10" s="8" t="s">
        <v>18</v>
      </c>
      <c r="AA10" s="9"/>
      <c r="AB10" s="6"/>
      <c r="AC10" s="6">
        <v>5</v>
      </c>
      <c r="AD10" s="6"/>
      <c r="AE10" s="19">
        <f t="shared" si="2"/>
        <v>75</v>
      </c>
      <c r="AF10" s="6"/>
      <c r="AG10" s="21">
        <f t="shared" si="3"/>
        <v>75</v>
      </c>
      <c r="AH10" s="6"/>
    </row>
    <row r="11" spans="1:34" s="1" customFormat="1" x14ac:dyDescent="0.45">
      <c r="A11" s="6"/>
      <c r="B11" s="6" t="s">
        <v>11</v>
      </c>
      <c r="C11" s="6" t="s">
        <v>12</v>
      </c>
      <c r="D11" s="6"/>
      <c r="E11" s="6"/>
      <c r="F11" s="6"/>
      <c r="G11" s="6"/>
      <c r="H11" s="6"/>
      <c r="I11" s="6"/>
      <c r="J11" s="6"/>
      <c r="M11" s="6"/>
      <c r="N11" s="6"/>
      <c r="O11" s="6"/>
      <c r="P11" s="6"/>
      <c r="Q11" s="6">
        <v>7</v>
      </c>
      <c r="R11" s="6"/>
      <c r="S11" s="19">
        <f t="shared" si="0"/>
        <v>77</v>
      </c>
      <c r="T11" s="6"/>
      <c r="U11" s="21">
        <f t="shared" si="1"/>
        <v>98</v>
      </c>
      <c r="V11" s="6"/>
      <c r="Y11" s="6"/>
      <c r="Z11" s="6"/>
      <c r="AA11" s="6"/>
      <c r="AB11" s="6"/>
      <c r="AC11" s="6">
        <v>6</v>
      </c>
      <c r="AD11" s="6"/>
      <c r="AE11" s="19">
        <f t="shared" si="2"/>
        <v>78</v>
      </c>
      <c r="AF11" s="6"/>
      <c r="AG11" s="21">
        <f t="shared" si="3"/>
        <v>87</v>
      </c>
      <c r="AH11" s="6"/>
    </row>
    <row r="12" spans="1:34" s="1" customFormat="1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M12" s="6"/>
      <c r="N12" s="6"/>
      <c r="O12" s="6"/>
      <c r="P12" s="6"/>
      <c r="Q12" s="6">
        <v>8</v>
      </c>
      <c r="R12" s="6"/>
      <c r="S12" s="19">
        <f t="shared" si="0"/>
        <v>72</v>
      </c>
      <c r="T12" s="6"/>
      <c r="U12" s="21">
        <f t="shared" si="1"/>
        <v>108</v>
      </c>
      <c r="V12" s="6"/>
      <c r="Y12" s="6"/>
      <c r="Z12" s="6"/>
      <c r="AA12" s="6"/>
      <c r="AB12" s="6"/>
      <c r="AC12" s="6">
        <v>7</v>
      </c>
      <c r="AD12" s="6"/>
      <c r="AE12" s="19">
        <f t="shared" si="2"/>
        <v>77</v>
      </c>
      <c r="AF12" s="6"/>
      <c r="AG12" s="21">
        <f t="shared" si="3"/>
        <v>98</v>
      </c>
      <c r="AH12" s="6"/>
    </row>
    <row r="13" spans="1:34" s="1" customFormat="1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M13" s="6"/>
      <c r="N13" s="6"/>
      <c r="O13" s="6"/>
      <c r="P13" s="6"/>
      <c r="Q13" s="6">
        <v>9</v>
      </c>
      <c r="R13" s="6"/>
      <c r="S13" s="19">
        <f t="shared" si="0"/>
        <v>63</v>
      </c>
      <c r="T13" s="6"/>
      <c r="U13" s="21">
        <f t="shared" si="1"/>
        <v>117</v>
      </c>
      <c r="V13" s="6"/>
      <c r="Y13" s="6"/>
      <c r="Z13" s="6"/>
      <c r="AA13" s="6"/>
      <c r="AB13" s="6"/>
      <c r="AC13" s="6">
        <v>8</v>
      </c>
      <c r="AD13" s="6"/>
      <c r="AE13" s="19">
        <f t="shared" si="2"/>
        <v>72</v>
      </c>
      <c r="AF13" s="6"/>
      <c r="AG13" s="21">
        <f t="shared" si="3"/>
        <v>108</v>
      </c>
      <c r="AH13" s="6"/>
    </row>
    <row r="14" spans="1:34" s="1" customFormat="1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2"/>
      <c r="M14" s="6"/>
      <c r="N14" s="6"/>
      <c r="O14" s="6"/>
      <c r="P14" s="6"/>
      <c r="Q14" s="6">
        <v>10</v>
      </c>
      <c r="R14" s="6"/>
      <c r="S14" s="19">
        <f t="shared" si="0"/>
        <v>50</v>
      </c>
      <c r="T14" s="6"/>
      <c r="U14" s="21">
        <f t="shared" si="1"/>
        <v>125</v>
      </c>
      <c r="V14" s="6"/>
      <c r="Y14" s="6"/>
      <c r="Z14" s="6"/>
      <c r="AA14" s="6"/>
      <c r="AB14" s="6"/>
      <c r="AC14" s="6">
        <v>9</v>
      </c>
      <c r="AD14" s="6"/>
      <c r="AE14" s="19">
        <f t="shared" si="2"/>
        <v>63</v>
      </c>
      <c r="AF14" s="6"/>
      <c r="AG14" s="21">
        <f t="shared" si="3"/>
        <v>117</v>
      </c>
      <c r="AH14" s="6"/>
    </row>
    <row r="15" spans="1:34" s="1" customFormat="1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M15" s="6"/>
      <c r="N15" s="6"/>
      <c r="O15" s="6"/>
      <c r="P15" s="6"/>
      <c r="Q15" s="6">
        <v>11</v>
      </c>
      <c r="R15" s="6"/>
      <c r="S15" s="19">
        <f t="shared" si="0"/>
        <v>33</v>
      </c>
      <c r="T15" s="6"/>
      <c r="U15" s="21">
        <f t="shared" si="1"/>
        <v>132</v>
      </c>
      <c r="V15" s="6"/>
      <c r="Y15" s="6"/>
      <c r="Z15" s="6"/>
      <c r="AA15" s="6"/>
      <c r="AB15" s="6"/>
      <c r="AC15" s="6">
        <v>10</v>
      </c>
      <c r="AD15" s="6"/>
      <c r="AE15" s="19">
        <f t="shared" si="2"/>
        <v>50</v>
      </c>
      <c r="AF15" s="6"/>
      <c r="AG15" s="21">
        <f t="shared" si="3"/>
        <v>125</v>
      </c>
      <c r="AH15" s="6"/>
    </row>
    <row r="16" spans="1:34" s="1" customFormat="1" ht="15.75" x14ac:dyDescent="0.55000000000000004">
      <c r="A16" s="6"/>
      <c r="B16" s="6"/>
      <c r="C16" s="6"/>
      <c r="D16" s="6"/>
      <c r="E16" s="23" t="s">
        <v>31</v>
      </c>
      <c r="F16" s="6"/>
      <c r="G16" s="6"/>
      <c r="H16" s="6"/>
      <c r="I16" s="6"/>
      <c r="J16" s="6"/>
      <c r="M16" s="6"/>
      <c r="N16" s="6"/>
      <c r="O16" s="6"/>
      <c r="P16" s="6" t="s">
        <v>7</v>
      </c>
      <c r="Q16" s="6">
        <f>N5+(O5-1)/2</f>
        <v>12</v>
      </c>
      <c r="R16" s="6"/>
      <c r="S16" s="19">
        <f t="shared" si="0"/>
        <v>12</v>
      </c>
      <c r="T16" s="6"/>
      <c r="U16" s="21">
        <f t="shared" si="1"/>
        <v>138</v>
      </c>
      <c r="V16" s="6"/>
      <c r="Y16" s="6"/>
      <c r="Z16" s="6"/>
      <c r="AA16" s="6"/>
      <c r="AB16" s="6"/>
      <c r="AC16" s="6">
        <v>11</v>
      </c>
      <c r="AD16" s="6"/>
      <c r="AE16" s="19">
        <f t="shared" si="2"/>
        <v>33</v>
      </c>
      <c r="AF16" s="6"/>
      <c r="AG16" s="21">
        <f t="shared" si="3"/>
        <v>132</v>
      </c>
      <c r="AH16" s="6"/>
    </row>
    <row r="17" spans="1:34" s="1" customFormat="1" ht="14.65" thickBot="1" x14ac:dyDescent="0.5">
      <c r="A17" s="6"/>
      <c r="B17" s="6"/>
      <c r="C17" s="6"/>
      <c r="D17" s="6"/>
      <c r="E17" s="6"/>
      <c r="F17" s="6"/>
      <c r="G17" s="6"/>
      <c r="H17" s="6"/>
      <c r="I17" s="6"/>
      <c r="J17" s="6"/>
      <c r="M17" s="6"/>
      <c r="N17" s="6"/>
      <c r="O17" s="6"/>
      <c r="P17" s="6"/>
      <c r="Q17" s="6"/>
      <c r="R17" s="6"/>
      <c r="S17" s="19"/>
      <c r="T17" s="6"/>
      <c r="U17" s="21"/>
      <c r="V17" s="6"/>
      <c r="Y17" s="6"/>
      <c r="Z17" s="6"/>
      <c r="AA17" s="6"/>
      <c r="AB17" s="6" t="s">
        <v>7</v>
      </c>
      <c r="AC17" s="6">
        <f>Z5+(AA5-1)/2</f>
        <v>12</v>
      </c>
      <c r="AD17" s="6"/>
      <c r="AE17" s="19">
        <f t="shared" si="2"/>
        <v>12</v>
      </c>
      <c r="AF17" s="6"/>
      <c r="AG17" s="21">
        <f t="shared" si="3"/>
        <v>138</v>
      </c>
      <c r="AH17" s="6"/>
    </row>
    <row r="18" spans="1:34" s="1" customFormat="1" ht="14.65" thickBot="1" x14ac:dyDescent="0.5">
      <c r="A18" s="6"/>
      <c r="B18" s="6"/>
      <c r="C18" s="16">
        <v>0</v>
      </c>
      <c r="D18" s="17"/>
      <c r="E18" s="17"/>
      <c r="F18" s="17"/>
      <c r="G18" s="17"/>
      <c r="H18" s="17"/>
      <c r="I18" s="24">
        <v>1</v>
      </c>
      <c r="J18" s="6"/>
      <c r="M18" s="6"/>
      <c r="N18" s="6"/>
      <c r="O18" s="6"/>
      <c r="P18" s="6"/>
      <c r="Q18" s="15" t="s">
        <v>13</v>
      </c>
      <c r="R18" s="6"/>
      <c r="S18" s="19"/>
      <c r="T18" s="6"/>
      <c r="U18" s="21"/>
      <c r="V18" s="6"/>
      <c r="Y18" s="6"/>
      <c r="Z18" s="6"/>
      <c r="AA18" s="6"/>
      <c r="AB18" s="6"/>
      <c r="AC18" s="6"/>
      <c r="AD18" s="6"/>
      <c r="AE18" s="19"/>
      <c r="AF18" s="6"/>
      <c r="AG18" s="21"/>
      <c r="AH18" s="6"/>
    </row>
    <row r="19" spans="1:34" s="1" customFormat="1" ht="14.65" thickBot="1" x14ac:dyDescent="0.5">
      <c r="A19" s="6"/>
      <c r="B19" s="6"/>
      <c r="C19" s="6"/>
      <c r="D19" s="6"/>
      <c r="E19" s="6"/>
      <c r="F19" s="6"/>
      <c r="G19" s="6"/>
      <c r="H19" s="6"/>
      <c r="I19" s="6"/>
      <c r="J19" s="6"/>
      <c r="M19" s="6"/>
      <c r="N19" s="6"/>
      <c r="O19" s="6"/>
      <c r="P19" s="6"/>
      <c r="Q19" s="6"/>
      <c r="R19" s="6"/>
      <c r="S19" s="19"/>
      <c r="T19" s="6"/>
      <c r="U19" s="21"/>
      <c r="V19" s="6"/>
      <c r="Y19" s="6"/>
      <c r="Z19" s="6"/>
      <c r="AA19" s="6"/>
      <c r="AB19" s="10" t="s">
        <v>8</v>
      </c>
      <c r="AC19" s="22"/>
      <c r="AD19" s="6"/>
      <c r="AE19" s="19">
        <f t="shared" ref="AE19" si="4">AC19*((5-AC19)/0.5+15)</f>
        <v>0</v>
      </c>
      <c r="AF19" s="6"/>
      <c r="AG19" s="21">
        <f t="shared" ref="AG19" si="5">AC19*((5-AC19)/2+15)</f>
        <v>0</v>
      </c>
      <c r="AH19" s="6"/>
    </row>
    <row r="20" spans="1:34" s="1" customFormat="1" ht="14.65" thickBot="1" x14ac:dyDescent="0.5">
      <c r="A20" s="6"/>
      <c r="B20" s="6"/>
      <c r="C20" s="6"/>
      <c r="D20" s="6"/>
      <c r="E20" s="22" t="s">
        <v>14</v>
      </c>
      <c r="F20" s="6"/>
      <c r="G20" s="25" t="s">
        <v>20</v>
      </c>
      <c r="H20" s="6"/>
      <c r="I20" s="6"/>
      <c r="J20" s="6"/>
      <c r="M20" s="12"/>
      <c r="N20" s="12"/>
      <c r="O20" s="12"/>
      <c r="P20" s="12"/>
      <c r="Q20" s="12"/>
      <c r="R20" s="12"/>
      <c r="S20" s="12"/>
      <c r="T20" s="12"/>
      <c r="U20" s="12"/>
      <c r="V20" s="13"/>
      <c r="Y20" s="6"/>
      <c r="Z20" s="6"/>
      <c r="AA20" s="6"/>
      <c r="AB20" s="6"/>
      <c r="AC20" s="6"/>
      <c r="AD20" s="11"/>
      <c r="AE20" s="6"/>
      <c r="AF20" s="6"/>
      <c r="AG20" s="6"/>
      <c r="AH20" s="6"/>
    </row>
    <row r="21" spans="1:34" s="1" customFormat="1" ht="14.65" thickBot="1" x14ac:dyDescent="0.5">
      <c r="A21" s="6"/>
      <c r="B21" s="6"/>
      <c r="C21" s="6"/>
      <c r="D21" s="6"/>
      <c r="E21" s="6"/>
      <c r="F21" s="6"/>
      <c r="G21" s="25" t="s">
        <v>21</v>
      </c>
      <c r="H21" s="6"/>
      <c r="I21" s="6"/>
      <c r="J21" s="6"/>
      <c r="M21" s="6"/>
      <c r="N21" s="6" t="s">
        <v>24</v>
      </c>
      <c r="O21" s="6" t="s">
        <v>12</v>
      </c>
      <c r="P21" s="6"/>
      <c r="Q21" s="6"/>
      <c r="R21" s="6"/>
      <c r="S21" s="6"/>
      <c r="T21" s="6" t="s">
        <v>4</v>
      </c>
      <c r="U21" s="6"/>
      <c r="V21" s="6"/>
      <c r="Y21" s="6"/>
      <c r="Z21" s="6"/>
      <c r="AA21" s="6"/>
      <c r="AB21" s="6"/>
      <c r="AC21" s="15" t="s">
        <v>5</v>
      </c>
      <c r="AD21" s="11"/>
      <c r="AE21" s="16" t="s">
        <v>9</v>
      </c>
      <c r="AF21" s="17"/>
      <c r="AG21" s="17"/>
      <c r="AH21" s="17"/>
    </row>
    <row r="22" spans="1:34" ht="16.149999999999999" thickBot="1" x14ac:dyDescent="0.6">
      <c r="A22" s="6"/>
      <c r="B22" s="6"/>
      <c r="C22" s="6"/>
      <c r="D22" s="6"/>
      <c r="E22" s="6"/>
      <c r="F22" s="6"/>
      <c r="G22" s="6"/>
      <c r="H22" s="6"/>
      <c r="I22" s="6"/>
      <c r="J22" s="6"/>
      <c r="L22" s="1"/>
      <c r="M22" s="6"/>
      <c r="N22" s="5" t="s">
        <v>3</v>
      </c>
      <c r="O22" s="6"/>
      <c r="P22" s="6"/>
      <c r="Q22" s="7" t="s">
        <v>2</v>
      </c>
      <c r="R22" s="7"/>
      <c r="S22" s="18" t="s">
        <v>28</v>
      </c>
      <c r="T22" s="7"/>
      <c r="U22" s="20" t="s">
        <v>29</v>
      </c>
      <c r="V22" s="6"/>
      <c r="Y22" s="6"/>
      <c r="Z22" s="6"/>
      <c r="AA22" s="6"/>
      <c r="AB22" s="6"/>
      <c r="AC22" s="6"/>
      <c r="AD22" s="11"/>
      <c r="AE22" s="16" t="s">
        <v>22</v>
      </c>
      <c r="AF22" s="17"/>
      <c r="AG22" s="17"/>
      <c r="AH22" s="17"/>
    </row>
    <row r="23" spans="1:34" ht="14.65" thickBot="1" x14ac:dyDescent="0.5">
      <c r="A23" s="6"/>
      <c r="B23" s="6"/>
      <c r="C23" s="6"/>
      <c r="D23" s="6"/>
      <c r="E23" s="15" t="s">
        <v>5</v>
      </c>
      <c r="F23" s="6"/>
      <c r="G23" s="6"/>
      <c r="H23" s="6"/>
      <c r="I23" s="6"/>
      <c r="J23" s="6"/>
      <c r="L23" s="1"/>
      <c r="M23" s="6"/>
      <c r="N23" s="6" t="s">
        <v>0</v>
      </c>
      <c r="O23" s="6" t="s">
        <v>1</v>
      </c>
      <c r="P23" s="6"/>
      <c r="Q23" s="6"/>
      <c r="R23" s="6"/>
      <c r="S23" s="19"/>
      <c r="T23" s="6"/>
      <c r="U23" s="21"/>
      <c r="V23" s="6"/>
      <c r="Y23" s="12"/>
      <c r="Z23" s="12"/>
      <c r="AA23" s="12"/>
      <c r="AB23" s="12"/>
      <c r="AC23" s="12"/>
      <c r="AD23" s="12"/>
      <c r="AE23" s="12"/>
      <c r="AF23" s="12"/>
      <c r="AG23" s="12"/>
      <c r="AH23" s="13"/>
    </row>
    <row r="24" spans="1:34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1"/>
      <c r="L24" s="1"/>
      <c r="M24" s="6"/>
      <c r="N24" s="6">
        <v>5</v>
      </c>
      <c r="O24" s="6">
        <v>15</v>
      </c>
      <c r="P24" s="6" t="s">
        <v>6</v>
      </c>
      <c r="Q24" s="6">
        <v>1</v>
      </c>
      <c r="R24" s="6"/>
      <c r="S24" s="19">
        <f>Q24*((5-Q24)/0.5+15)</f>
        <v>23</v>
      </c>
      <c r="T24" s="6"/>
      <c r="U24" s="21">
        <f>Q24*((5-Q24)/2+15)</f>
        <v>17</v>
      </c>
      <c r="V24" s="6"/>
      <c r="Y24" s="5"/>
      <c r="Z24" s="6" t="s">
        <v>33</v>
      </c>
      <c r="AA24" s="6" t="s">
        <v>12</v>
      </c>
      <c r="AB24" s="6"/>
      <c r="AC24" s="6"/>
      <c r="AD24" s="6"/>
      <c r="AE24" s="6"/>
      <c r="AF24" s="6" t="s">
        <v>4</v>
      </c>
      <c r="AG24" s="6"/>
      <c r="AH24" s="6"/>
    </row>
    <row r="25" spans="1:34" ht="15.75" x14ac:dyDescent="0.55000000000000004">
      <c r="A25" s="6"/>
      <c r="B25" s="6"/>
      <c r="C25" s="6"/>
      <c r="D25" s="6"/>
      <c r="E25" s="6"/>
      <c r="F25" s="6"/>
      <c r="G25" s="6"/>
      <c r="H25" s="6"/>
      <c r="I25" s="6"/>
      <c r="J25" s="6"/>
      <c r="K25" s="1"/>
      <c r="L25" s="1"/>
      <c r="M25" s="6"/>
      <c r="N25" s="5"/>
      <c r="O25" s="6"/>
      <c r="P25" s="6"/>
      <c r="Q25" s="6">
        <v>2</v>
      </c>
      <c r="R25" s="6"/>
      <c r="S25" s="19">
        <f t="shared" ref="S25:S35" si="6">Q25*((5-Q25)/0.5+15)</f>
        <v>42</v>
      </c>
      <c r="T25" s="6"/>
      <c r="U25" s="21">
        <f t="shared" ref="U25:U35" si="7">Q25*((5-Q25)/2+15)</f>
        <v>33</v>
      </c>
      <c r="V25" s="6"/>
      <c r="Y25" s="8"/>
      <c r="Z25" s="5" t="s">
        <v>3</v>
      </c>
      <c r="AA25" s="6"/>
      <c r="AB25" s="6"/>
      <c r="AC25" s="7" t="s">
        <v>2</v>
      </c>
      <c r="AD25" s="7"/>
      <c r="AE25" s="18" t="s">
        <v>28</v>
      </c>
      <c r="AF25" s="7"/>
      <c r="AG25" s="20" t="s">
        <v>29</v>
      </c>
      <c r="AH25" s="6"/>
    </row>
    <row r="26" spans="1:34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1"/>
      <c r="L26" s="1"/>
      <c r="M26" s="6"/>
      <c r="N26" s="5"/>
      <c r="O26" s="6"/>
      <c r="P26" s="6"/>
      <c r="Q26" s="6">
        <v>3</v>
      </c>
      <c r="R26" s="6"/>
      <c r="S26" s="19">
        <f t="shared" si="6"/>
        <v>57</v>
      </c>
      <c r="T26" s="6"/>
      <c r="U26" s="21">
        <f t="shared" si="7"/>
        <v>48</v>
      </c>
      <c r="V26" s="6"/>
      <c r="Y26" s="8"/>
      <c r="Z26" s="6" t="s">
        <v>0</v>
      </c>
      <c r="AA26" s="6" t="s">
        <v>1</v>
      </c>
      <c r="AB26" s="6"/>
      <c r="AC26" s="6"/>
      <c r="AD26" s="6"/>
      <c r="AE26" s="19"/>
      <c r="AF26" s="6"/>
      <c r="AG26" s="21"/>
      <c r="AH26" s="6"/>
    </row>
    <row r="27" spans="1:34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1"/>
      <c r="L27" s="1"/>
      <c r="M27" s="6"/>
      <c r="N27" s="5"/>
      <c r="O27" s="6"/>
      <c r="P27" s="6"/>
      <c r="Q27" s="6">
        <v>4</v>
      </c>
      <c r="R27" s="6"/>
      <c r="S27" s="19">
        <f t="shared" si="6"/>
        <v>68</v>
      </c>
      <c r="T27" s="6"/>
      <c r="U27" s="21">
        <f t="shared" si="7"/>
        <v>62</v>
      </c>
      <c r="V27" s="6"/>
      <c r="Y27" s="6"/>
      <c r="Z27" s="6">
        <v>5</v>
      </c>
      <c r="AA27" s="6">
        <v>15</v>
      </c>
      <c r="AB27" s="6" t="s">
        <v>6</v>
      </c>
      <c r="AC27" s="6">
        <v>1</v>
      </c>
      <c r="AD27" s="6"/>
      <c r="AE27" s="19">
        <f>AC27*((5-AC27)/0.5+15)</f>
        <v>23</v>
      </c>
      <c r="AF27" s="6"/>
      <c r="AG27" s="21">
        <f>AC27*((5-AC27)/2+15)</f>
        <v>17</v>
      </c>
      <c r="AH27" s="6"/>
    </row>
    <row r="28" spans="1:34" x14ac:dyDescent="0.45">
      <c r="A28" s="12"/>
      <c r="B28" s="12"/>
      <c r="C28" s="12"/>
      <c r="D28" s="12"/>
      <c r="E28" s="12"/>
      <c r="F28" s="12"/>
      <c r="G28" s="12"/>
      <c r="H28" s="12"/>
      <c r="I28" s="12"/>
      <c r="J28" s="13"/>
      <c r="K28" s="1"/>
      <c r="L28" s="1"/>
      <c r="M28" s="6"/>
      <c r="N28" s="8"/>
      <c r="O28" s="6"/>
      <c r="P28" s="6"/>
      <c r="Q28" s="6">
        <v>5</v>
      </c>
      <c r="R28" s="6"/>
      <c r="S28" s="19">
        <f t="shared" si="6"/>
        <v>75</v>
      </c>
      <c r="T28" s="6"/>
      <c r="U28" s="21">
        <f t="shared" si="7"/>
        <v>75</v>
      </c>
      <c r="V28" s="6"/>
      <c r="Y28" s="6"/>
      <c r="Z28" s="5"/>
      <c r="AA28" s="6"/>
      <c r="AB28" s="6"/>
      <c r="AC28" s="6">
        <v>2</v>
      </c>
      <c r="AD28" s="6"/>
      <c r="AE28" s="19">
        <f t="shared" ref="AE28:AE38" si="8">AC28*((5-AC28)/0.5+15)</f>
        <v>42</v>
      </c>
      <c r="AF28" s="6"/>
      <c r="AG28" s="21">
        <f t="shared" ref="AG28:AG38" si="9">AC28*((5-AC28)/2+15)</f>
        <v>33</v>
      </c>
      <c r="AH28" s="6"/>
    </row>
    <row r="29" spans="1:34" x14ac:dyDescent="0.45">
      <c r="A29" s="6"/>
      <c r="B29" s="6" t="s">
        <v>15</v>
      </c>
      <c r="C29" s="6" t="s">
        <v>12</v>
      </c>
      <c r="D29" s="6"/>
      <c r="E29" s="6"/>
      <c r="F29" s="6"/>
      <c r="G29" s="19"/>
      <c r="H29" s="6"/>
      <c r="I29" s="21"/>
      <c r="J29" s="6"/>
      <c r="K29" s="1"/>
      <c r="L29" s="1"/>
      <c r="M29" s="6"/>
      <c r="N29" s="8"/>
      <c r="O29" s="9"/>
      <c r="P29" s="6"/>
      <c r="Q29" s="6">
        <v>6</v>
      </c>
      <c r="R29" s="6"/>
      <c r="S29" s="19">
        <f t="shared" si="6"/>
        <v>78</v>
      </c>
      <c r="T29" s="6"/>
      <c r="U29" s="21">
        <f t="shared" si="7"/>
        <v>87</v>
      </c>
      <c r="V29" s="6"/>
      <c r="Y29" s="6"/>
      <c r="Z29" s="5"/>
      <c r="AA29" s="6"/>
      <c r="AB29" s="6"/>
      <c r="AC29" s="6">
        <v>3</v>
      </c>
      <c r="AD29" s="6"/>
      <c r="AE29" s="19">
        <f t="shared" si="8"/>
        <v>57</v>
      </c>
      <c r="AF29" s="6"/>
      <c r="AG29" s="21">
        <f t="shared" si="9"/>
        <v>48</v>
      </c>
      <c r="AH29" s="6"/>
    </row>
    <row r="30" spans="1:34" x14ac:dyDescent="0.45">
      <c r="A30" s="5"/>
      <c r="B30" s="5" t="s">
        <v>3</v>
      </c>
      <c r="C30" s="6"/>
      <c r="D30" s="6"/>
      <c r="E30" s="6"/>
      <c r="F30" s="6"/>
      <c r="G30" s="6"/>
      <c r="H30" s="6" t="s">
        <v>4</v>
      </c>
      <c r="I30" s="6"/>
      <c r="J30" s="6"/>
      <c r="K30" s="1"/>
      <c r="L30" s="1"/>
      <c r="M30" s="6"/>
      <c r="N30" s="6"/>
      <c r="O30" s="6"/>
      <c r="P30" s="6"/>
      <c r="Q30" s="6">
        <v>7</v>
      </c>
      <c r="R30" s="6"/>
      <c r="S30" s="19">
        <f t="shared" si="6"/>
        <v>77</v>
      </c>
      <c r="T30" s="6"/>
      <c r="U30" s="21">
        <f t="shared" si="7"/>
        <v>98</v>
      </c>
      <c r="V30" s="6"/>
      <c r="Y30" s="6"/>
      <c r="Z30" s="8"/>
      <c r="AA30" s="6"/>
      <c r="AB30" s="6"/>
      <c r="AC30" s="6">
        <v>4</v>
      </c>
      <c r="AD30" s="6"/>
      <c r="AE30" s="19">
        <f t="shared" si="8"/>
        <v>68</v>
      </c>
      <c r="AF30" s="6"/>
      <c r="AG30" s="21">
        <f t="shared" si="9"/>
        <v>62</v>
      </c>
      <c r="AH30" s="6"/>
    </row>
    <row r="31" spans="1:34" ht="15.75" x14ac:dyDescent="0.55000000000000004">
      <c r="A31" s="6"/>
      <c r="B31" s="6" t="s">
        <v>0</v>
      </c>
      <c r="C31" s="6" t="s">
        <v>1</v>
      </c>
      <c r="D31" s="6"/>
      <c r="E31" s="7" t="s">
        <v>2</v>
      </c>
      <c r="F31" s="7"/>
      <c r="G31" s="18" t="s">
        <v>28</v>
      </c>
      <c r="H31" s="7"/>
      <c r="I31" s="20" t="s">
        <v>29</v>
      </c>
      <c r="J31" s="6"/>
      <c r="K31" s="1"/>
      <c r="L31" s="1"/>
      <c r="M31" s="6"/>
      <c r="N31" s="6"/>
      <c r="O31" s="6"/>
      <c r="P31" s="6"/>
      <c r="Q31" s="6">
        <v>8</v>
      </c>
      <c r="R31" s="6"/>
      <c r="S31" s="19">
        <f t="shared" si="6"/>
        <v>72</v>
      </c>
      <c r="T31" s="6"/>
      <c r="U31" s="21">
        <f t="shared" si="7"/>
        <v>108</v>
      </c>
      <c r="V31" s="6"/>
      <c r="Y31" s="6"/>
      <c r="Z31" s="8"/>
      <c r="AA31" s="9"/>
      <c r="AB31" s="6"/>
      <c r="AC31" s="6">
        <v>5</v>
      </c>
      <c r="AD31" s="6"/>
      <c r="AE31" s="19">
        <f t="shared" si="8"/>
        <v>75</v>
      </c>
      <c r="AF31" s="6"/>
      <c r="AG31" s="21">
        <f t="shared" si="9"/>
        <v>75</v>
      </c>
      <c r="AH31" s="6"/>
    </row>
    <row r="32" spans="1:34" x14ac:dyDescent="0.45">
      <c r="A32" s="6"/>
      <c r="B32" s="6">
        <v>5</v>
      </c>
      <c r="C32" s="6">
        <v>15</v>
      </c>
      <c r="D32" s="6"/>
      <c r="E32" s="6"/>
      <c r="F32" s="6"/>
      <c r="G32" s="19"/>
      <c r="H32" s="6"/>
      <c r="I32" s="21"/>
      <c r="J32" s="6"/>
      <c r="K32" s="1"/>
      <c r="L32" s="1"/>
      <c r="M32" s="6"/>
      <c r="N32" s="6"/>
      <c r="O32" s="6"/>
      <c r="P32" s="6"/>
      <c r="Q32" s="6">
        <v>9</v>
      </c>
      <c r="R32" s="6"/>
      <c r="S32" s="19">
        <f t="shared" si="6"/>
        <v>63</v>
      </c>
      <c r="T32" s="6"/>
      <c r="U32" s="21">
        <f t="shared" si="7"/>
        <v>117</v>
      </c>
      <c r="V32" s="6"/>
      <c r="Y32" s="6"/>
      <c r="Z32" s="6"/>
      <c r="AA32" s="6"/>
      <c r="AB32" s="6"/>
      <c r="AC32" s="6">
        <v>6</v>
      </c>
      <c r="AD32" s="6"/>
      <c r="AE32" s="19">
        <f t="shared" si="8"/>
        <v>78</v>
      </c>
      <c r="AF32" s="6"/>
      <c r="AG32" s="21">
        <f t="shared" si="9"/>
        <v>87</v>
      </c>
      <c r="AH32" s="6"/>
    </row>
    <row r="33" spans="1:34" x14ac:dyDescent="0.45">
      <c r="A33" s="5"/>
      <c r="B33" s="5"/>
      <c r="C33" s="6"/>
      <c r="D33" s="6" t="s">
        <v>6</v>
      </c>
      <c r="E33" s="6">
        <v>1</v>
      </c>
      <c r="F33" s="6"/>
      <c r="G33" s="19">
        <f>E33*((5-E33)/0.5+15)</f>
        <v>23</v>
      </c>
      <c r="H33" s="6"/>
      <c r="I33" s="21">
        <f>E33*((5-E33)/2+15)</f>
        <v>17</v>
      </c>
      <c r="J33" s="6"/>
      <c r="K33" s="1"/>
      <c r="L33" s="1"/>
      <c r="M33" s="6"/>
      <c r="N33" s="6"/>
      <c r="O33" s="6"/>
      <c r="P33" s="6"/>
      <c r="Q33" s="6">
        <v>10</v>
      </c>
      <c r="R33" s="6"/>
      <c r="S33" s="19">
        <f t="shared" si="6"/>
        <v>50</v>
      </c>
      <c r="T33" s="6"/>
      <c r="U33" s="21">
        <f t="shared" si="7"/>
        <v>125</v>
      </c>
      <c r="V33" s="6"/>
      <c r="Y33" s="6"/>
      <c r="Z33" s="6"/>
      <c r="AA33" s="6"/>
      <c r="AB33" s="6"/>
      <c r="AC33" s="6">
        <v>7</v>
      </c>
      <c r="AD33" s="6"/>
      <c r="AE33" s="19">
        <f t="shared" si="8"/>
        <v>77</v>
      </c>
      <c r="AF33" s="6"/>
      <c r="AG33" s="21">
        <f t="shared" si="9"/>
        <v>98</v>
      </c>
      <c r="AH33" s="6"/>
    </row>
    <row r="34" spans="1:34" x14ac:dyDescent="0.45">
      <c r="A34" s="5"/>
      <c r="B34" s="5"/>
      <c r="C34" s="6"/>
      <c r="D34" s="6"/>
      <c r="E34" s="6">
        <v>2</v>
      </c>
      <c r="F34" s="6"/>
      <c r="G34" s="19">
        <f t="shared" ref="G34:G46" si="10">E34*((5-E34)/0.5+15)</f>
        <v>42</v>
      </c>
      <c r="H34" s="6"/>
      <c r="I34" s="21">
        <f t="shared" ref="I34:I46" si="11">E34*((5-E34)/2+15)</f>
        <v>33</v>
      </c>
      <c r="J34" s="6"/>
      <c r="K34" s="1"/>
      <c r="L34" s="1"/>
      <c r="M34" s="6"/>
      <c r="N34" s="6"/>
      <c r="O34" s="6"/>
      <c r="P34" s="6"/>
      <c r="Q34" s="6">
        <v>11</v>
      </c>
      <c r="R34" s="6"/>
      <c r="S34" s="19">
        <f t="shared" si="6"/>
        <v>33</v>
      </c>
      <c r="T34" s="6"/>
      <c r="U34" s="21">
        <f t="shared" si="7"/>
        <v>132</v>
      </c>
      <c r="V34" s="6"/>
      <c r="Y34" s="6"/>
      <c r="Z34" s="6"/>
      <c r="AA34" s="6"/>
      <c r="AB34" s="6"/>
      <c r="AC34" s="6">
        <v>8</v>
      </c>
      <c r="AD34" s="6"/>
      <c r="AE34" s="19">
        <f t="shared" si="8"/>
        <v>72</v>
      </c>
      <c r="AF34" s="6"/>
      <c r="AG34" s="21">
        <f t="shared" si="9"/>
        <v>108</v>
      </c>
      <c r="AH34" s="6"/>
    </row>
    <row r="35" spans="1:34" x14ac:dyDescent="0.45">
      <c r="A35" s="5"/>
      <c r="B35" s="5" t="s">
        <v>17</v>
      </c>
      <c r="C35" s="6"/>
      <c r="D35" s="6"/>
      <c r="E35" s="6">
        <v>3</v>
      </c>
      <c r="F35" s="6"/>
      <c r="G35" s="19">
        <f t="shared" si="10"/>
        <v>57</v>
      </c>
      <c r="H35" s="6"/>
      <c r="I35" s="21">
        <f t="shared" si="11"/>
        <v>48</v>
      </c>
      <c r="J35" s="6"/>
      <c r="K35" s="1"/>
      <c r="L35" s="1"/>
      <c r="M35" s="6"/>
      <c r="N35" s="6"/>
      <c r="O35" s="6"/>
      <c r="P35" s="6" t="s">
        <v>7</v>
      </c>
      <c r="Q35" s="6">
        <f>N24+(O24-1)/2</f>
        <v>12</v>
      </c>
      <c r="R35" s="6"/>
      <c r="S35" s="19">
        <f t="shared" si="6"/>
        <v>12</v>
      </c>
      <c r="T35" s="6"/>
      <c r="U35" s="21">
        <f t="shared" si="7"/>
        <v>138</v>
      </c>
      <c r="V35" s="6"/>
      <c r="Y35" s="6"/>
      <c r="Z35" s="6"/>
      <c r="AA35" s="6"/>
      <c r="AB35" s="6"/>
      <c r="AC35" s="6">
        <v>9</v>
      </c>
      <c r="AD35" s="6"/>
      <c r="AE35" s="19">
        <f t="shared" si="8"/>
        <v>63</v>
      </c>
      <c r="AF35" s="6"/>
      <c r="AG35" s="21">
        <f t="shared" si="9"/>
        <v>117</v>
      </c>
      <c r="AH35" s="6"/>
    </row>
    <row r="36" spans="1:34" x14ac:dyDescent="0.45">
      <c r="A36" s="8"/>
      <c r="B36" s="8" t="s">
        <v>16</v>
      </c>
      <c r="C36" s="6"/>
      <c r="D36" s="6"/>
      <c r="E36" s="6">
        <v>4</v>
      </c>
      <c r="F36" s="6"/>
      <c r="G36" s="19">
        <f t="shared" si="10"/>
        <v>68</v>
      </c>
      <c r="H36" s="6"/>
      <c r="I36" s="21">
        <f t="shared" si="11"/>
        <v>62</v>
      </c>
      <c r="J36" s="6"/>
      <c r="K36" s="1"/>
      <c r="L36" s="1"/>
      <c r="M36" s="6"/>
      <c r="N36" s="6"/>
      <c r="O36" s="6"/>
      <c r="P36" s="6"/>
      <c r="Q36" s="6"/>
      <c r="R36" s="6"/>
      <c r="S36" s="19"/>
      <c r="T36" s="6"/>
      <c r="U36" s="21"/>
      <c r="V36" s="6"/>
      <c r="Y36" s="6"/>
      <c r="Z36" s="6"/>
      <c r="AA36" s="6"/>
      <c r="AB36" s="6"/>
      <c r="AC36" s="6">
        <v>10</v>
      </c>
      <c r="AD36" s="6"/>
      <c r="AE36" s="19">
        <f t="shared" si="8"/>
        <v>50</v>
      </c>
      <c r="AF36" s="6"/>
      <c r="AG36" s="21">
        <f t="shared" si="9"/>
        <v>125</v>
      </c>
      <c r="AH36" s="6"/>
    </row>
    <row r="37" spans="1:34" ht="15.75" x14ac:dyDescent="0.55000000000000004">
      <c r="A37" s="8"/>
      <c r="B37" s="8" t="s">
        <v>18</v>
      </c>
      <c r="C37" s="9" t="s">
        <v>30</v>
      </c>
      <c r="D37" s="6"/>
      <c r="E37" s="6">
        <v>5</v>
      </c>
      <c r="F37" s="6"/>
      <c r="G37" s="19">
        <f t="shared" si="10"/>
        <v>75</v>
      </c>
      <c r="H37" s="6"/>
      <c r="I37" s="21">
        <f t="shared" si="11"/>
        <v>75</v>
      </c>
      <c r="J37" s="6"/>
      <c r="K37" s="1"/>
      <c r="L37" s="1"/>
      <c r="M37" s="6"/>
      <c r="N37" s="6"/>
      <c r="O37" s="6"/>
      <c r="P37" s="6"/>
      <c r="Q37" s="23" t="s">
        <v>31</v>
      </c>
      <c r="R37" s="6"/>
      <c r="S37" s="6"/>
      <c r="T37" s="6"/>
      <c r="U37" s="6"/>
      <c r="V37" s="6"/>
      <c r="Y37" s="6"/>
      <c r="Z37" s="6"/>
      <c r="AA37" s="6"/>
      <c r="AB37" s="6"/>
      <c r="AC37" s="6">
        <v>11</v>
      </c>
      <c r="AD37" s="6"/>
      <c r="AE37" s="19">
        <f t="shared" si="8"/>
        <v>33</v>
      </c>
      <c r="AF37" s="6"/>
      <c r="AG37" s="21">
        <f t="shared" si="9"/>
        <v>132</v>
      </c>
      <c r="AH37" s="6"/>
    </row>
    <row r="38" spans="1:34" x14ac:dyDescent="0.45">
      <c r="A38" s="6"/>
      <c r="B38" s="6"/>
      <c r="C38" s="6"/>
      <c r="D38" s="6"/>
      <c r="E38" s="6">
        <v>6</v>
      </c>
      <c r="F38" s="6"/>
      <c r="G38" s="19">
        <f t="shared" si="10"/>
        <v>78</v>
      </c>
      <c r="H38" s="6"/>
      <c r="I38" s="21">
        <f t="shared" si="11"/>
        <v>87</v>
      </c>
      <c r="J38" s="6"/>
      <c r="K38" s="1"/>
      <c r="L38" s="1"/>
      <c r="M38" s="6"/>
      <c r="N38" s="6"/>
      <c r="O38" s="6"/>
      <c r="P38" s="6"/>
      <c r="Q38" s="6"/>
      <c r="R38" s="6"/>
      <c r="S38" s="6"/>
      <c r="T38" s="6"/>
      <c r="U38" s="6"/>
      <c r="V38" s="6"/>
      <c r="Y38" s="6"/>
      <c r="Z38" s="6"/>
      <c r="AA38" s="6"/>
      <c r="AB38" s="6" t="s">
        <v>7</v>
      </c>
      <c r="AC38" s="6">
        <f>Z27+(AA27-1)/2</f>
        <v>12</v>
      </c>
      <c r="AD38" s="6"/>
      <c r="AE38" s="19">
        <f t="shared" si="8"/>
        <v>12</v>
      </c>
      <c r="AF38" s="6"/>
      <c r="AG38" s="21">
        <f t="shared" si="9"/>
        <v>138</v>
      </c>
      <c r="AH38" s="6"/>
    </row>
    <row r="39" spans="1:34" x14ac:dyDescent="0.45">
      <c r="A39" s="6"/>
      <c r="B39" s="6"/>
      <c r="C39" s="6"/>
      <c r="D39" s="6"/>
      <c r="E39" s="6">
        <v>7</v>
      </c>
      <c r="F39" s="6"/>
      <c r="G39" s="19">
        <f t="shared" si="10"/>
        <v>77</v>
      </c>
      <c r="H39" s="6"/>
      <c r="I39" s="21">
        <f t="shared" si="11"/>
        <v>98</v>
      </c>
      <c r="J39" s="6"/>
      <c r="K39" s="1"/>
      <c r="L39" s="1"/>
      <c r="M39" s="6"/>
      <c r="N39" s="6"/>
      <c r="O39" s="16">
        <v>0</v>
      </c>
      <c r="P39" s="17"/>
      <c r="Q39" s="17"/>
      <c r="R39" s="17"/>
      <c r="S39" s="17"/>
      <c r="T39" s="17"/>
      <c r="U39" s="24">
        <v>1</v>
      </c>
      <c r="V39" s="6"/>
      <c r="Y39" s="6"/>
      <c r="Z39" s="6"/>
      <c r="AA39" s="6"/>
      <c r="AB39" s="6"/>
      <c r="AC39" s="6"/>
      <c r="AD39" s="6"/>
      <c r="AE39" s="19"/>
      <c r="AF39" s="6"/>
      <c r="AG39" s="21"/>
      <c r="AH39" s="6"/>
    </row>
    <row r="40" spans="1:34" ht="14.65" thickBot="1" x14ac:dyDescent="0.5">
      <c r="A40" s="6"/>
      <c r="B40" s="6"/>
      <c r="C40" s="6"/>
      <c r="D40" s="6"/>
      <c r="E40" s="6">
        <v>8</v>
      </c>
      <c r="F40" s="6"/>
      <c r="G40" s="19">
        <f t="shared" si="10"/>
        <v>72</v>
      </c>
      <c r="H40" s="6"/>
      <c r="I40" s="21">
        <f t="shared" si="11"/>
        <v>108</v>
      </c>
      <c r="J40" s="6"/>
      <c r="K40" s="1"/>
      <c r="L40" s="1"/>
      <c r="M40" s="6"/>
      <c r="N40" s="6"/>
      <c r="O40" s="6"/>
      <c r="P40" s="6"/>
      <c r="Q40" s="6"/>
      <c r="R40" s="6"/>
      <c r="S40" s="6"/>
      <c r="T40" s="6"/>
      <c r="U40" s="6"/>
      <c r="V40" s="6"/>
      <c r="Y40" s="6"/>
      <c r="Z40" s="6"/>
      <c r="AA40" s="6"/>
      <c r="AB40" s="10" t="s">
        <v>32</v>
      </c>
      <c r="AC40" s="6">
        <v>8.6</v>
      </c>
      <c r="AD40" s="6"/>
      <c r="AE40" s="19">
        <f t="shared" ref="AE40" si="12">AC40*((5-AC40)/0.5+15)</f>
        <v>67.08</v>
      </c>
      <c r="AF40" s="6"/>
      <c r="AG40" s="21">
        <f t="shared" ref="AG40" si="13">AC40*((5-AC40)/2+15)</f>
        <v>113.52</v>
      </c>
      <c r="AH40" s="6"/>
    </row>
    <row r="41" spans="1:34" ht="14.65" thickBot="1" x14ac:dyDescent="0.5">
      <c r="A41" s="6"/>
      <c r="B41" s="6"/>
      <c r="C41" s="6"/>
      <c r="D41" s="6"/>
      <c r="E41" s="6">
        <v>9</v>
      </c>
      <c r="F41" s="6"/>
      <c r="G41" s="19">
        <f t="shared" si="10"/>
        <v>63</v>
      </c>
      <c r="H41" s="6"/>
      <c r="I41" s="21">
        <f t="shared" si="11"/>
        <v>117</v>
      </c>
      <c r="J41" s="6"/>
      <c r="K41" s="1"/>
      <c r="L41" s="1"/>
      <c r="M41" s="5"/>
      <c r="N41" s="6"/>
      <c r="O41" s="6"/>
      <c r="P41" s="6"/>
      <c r="Q41" s="22" t="s">
        <v>14</v>
      </c>
      <c r="R41" s="6"/>
      <c r="S41" s="25" t="s">
        <v>20</v>
      </c>
      <c r="T41" s="6"/>
      <c r="U41" s="6"/>
      <c r="V41" s="6"/>
      <c r="Y41" s="6"/>
      <c r="Z41" s="6"/>
      <c r="AA41" s="6"/>
      <c r="AB41" s="6"/>
      <c r="AC41" s="6"/>
      <c r="AD41" s="11"/>
      <c r="AE41" s="6"/>
      <c r="AF41" s="6"/>
      <c r="AG41" s="6"/>
      <c r="AH41" s="6"/>
    </row>
    <row r="42" spans="1:34" ht="14.65" thickBot="1" x14ac:dyDescent="0.5">
      <c r="A42" s="6"/>
      <c r="B42" s="6"/>
      <c r="C42" s="6"/>
      <c r="D42" s="6"/>
      <c r="E42" s="6">
        <v>10</v>
      </c>
      <c r="F42" s="6"/>
      <c r="G42" s="19">
        <f t="shared" si="10"/>
        <v>50</v>
      </c>
      <c r="H42" s="6"/>
      <c r="I42" s="21">
        <f t="shared" si="11"/>
        <v>125</v>
      </c>
      <c r="J42" s="6"/>
      <c r="M42" s="6"/>
      <c r="N42" s="6"/>
      <c r="O42" s="6"/>
      <c r="P42" s="6"/>
      <c r="Q42" s="6"/>
      <c r="R42" s="6"/>
      <c r="S42" s="25" t="s">
        <v>21</v>
      </c>
      <c r="T42" s="6"/>
      <c r="U42" s="6"/>
      <c r="V42" s="6"/>
      <c r="Y42" s="6"/>
      <c r="Z42" s="6"/>
      <c r="AA42" s="6"/>
      <c r="AB42" s="6"/>
      <c r="AC42" s="15" t="s">
        <v>13</v>
      </c>
      <c r="AD42" s="6"/>
      <c r="AE42" s="19"/>
      <c r="AF42" s="6"/>
      <c r="AG42" s="21"/>
      <c r="AH42" s="6"/>
    </row>
    <row r="43" spans="1:34" ht="14.65" thickBot="1" x14ac:dyDescent="0.5">
      <c r="A43" s="6"/>
      <c r="B43" s="6"/>
      <c r="C43" s="6"/>
      <c r="D43" s="6"/>
      <c r="E43" s="6">
        <v>11</v>
      </c>
      <c r="F43" s="6"/>
      <c r="G43" s="19">
        <f t="shared" si="10"/>
        <v>33</v>
      </c>
      <c r="H43" s="6"/>
      <c r="I43" s="21">
        <f t="shared" si="11"/>
        <v>132</v>
      </c>
      <c r="J43" s="6"/>
      <c r="M43" s="6"/>
      <c r="N43" s="6"/>
      <c r="O43" s="6"/>
      <c r="P43" s="6"/>
      <c r="Q43" s="15" t="s">
        <v>5</v>
      </c>
      <c r="R43" s="6"/>
      <c r="S43" s="6"/>
      <c r="T43" s="6"/>
      <c r="U43" s="6"/>
      <c r="V43" s="6"/>
      <c r="Y43" s="6"/>
      <c r="Z43" s="6"/>
      <c r="AA43" s="6"/>
      <c r="AB43" s="6"/>
      <c r="AC43" s="6"/>
      <c r="AD43" s="6"/>
      <c r="AE43" s="19"/>
      <c r="AF43" s="6"/>
      <c r="AG43" s="21"/>
      <c r="AH43" s="6"/>
    </row>
    <row r="44" spans="1:34" x14ac:dyDescent="0.45">
      <c r="A44" s="6"/>
      <c r="B44" s="6"/>
      <c r="C44" s="6"/>
      <c r="D44" s="6" t="s">
        <v>7</v>
      </c>
      <c r="E44" s="6">
        <f>B32+(C32-1)/2</f>
        <v>12</v>
      </c>
      <c r="F44" s="6"/>
      <c r="G44" s="19">
        <f t="shared" si="10"/>
        <v>12</v>
      </c>
      <c r="H44" s="6"/>
      <c r="I44" s="21">
        <f t="shared" si="11"/>
        <v>138</v>
      </c>
      <c r="J44" s="6"/>
      <c r="L44" s="1"/>
      <c r="M44" s="5"/>
      <c r="N44" s="6"/>
      <c r="O44" s="6"/>
      <c r="P44" s="6"/>
      <c r="Q44" s="6"/>
      <c r="R44" s="6"/>
      <c r="S44" s="6"/>
      <c r="T44" s="6"/>
      <c r="U44" s="6"/>
      <c r="V44" s="6"/>
      <c r="AH44"/>
    </row>
    <row r="45" spans="1:34" ht="14.65" thickBot="1" x14ac:dyDescent="0.5">
      <c r="A45" s="6"/>
      <c r="B45" s="6"/>
      <c r="C45" s="6"/>
      <c r="D45" s="6"/>
      <c r="E45" s="6"/>
      <c r="F45" s="6"/>
      <c r="G45" s="19"/>
      <c r="H45" s="6"/>
      <c r="I45" s="21"/>
      <c r="J45" s="6"/>
      <c r="K45" s="1"/>
      <c r="M45" s="12"/>
      <c r="N45" s="12"/>
      <c r="O45" s="12"/>
      <c r="P45" s="12"/>
      <c r="Q45" s="12"/>
      <c r="R45" s="12"/>
      <c r="S45" s="12"/>
      <c r="T45" s="12"/>
      <c r="U45" s="12"/>
      <c r="V45" s="13"/>
      <c r="Y45" s="5"/>
      <c r="Z45" s="6" t="s">
        <v>33</v>
      </c>
      <c r="AA45" s="6" t="s">
        <v>12</v>
      </c>
      <c r="AB45" s="6"/>
      <c r="AC45" s="6"/>
      <c r="AD45" s="6"/>
      <c r="AE45" s="6"/>
      <c r="AF45" s="6" t="s">
        <v>4</v>
      </c>
      <c r="AG45" s="6"/>
      <c r="AH45" s="6"/>
    </row>
    <row r="46" spans="1:34" ht="16.149999999999999" thickBot="1" x14ac:dyDescent="0.6">
      <c r="A46" s="6"/>
      <c r="B46" s="6"/>
      <c r="C46" s="6"/>
      <c r="D46" s="10" t="s">
        <v>8</v>
      </c>
      <c r="E46" s="22"/>
      <c r="F46" s="6"/>
      <c r="G46" s="19">
        <f t="shared" si="10"/>
        <v>0</v>
      </c>
      <c r="H46" s="6"/>
      <c r="I46" s="21">
        <f t="shared" si="11"/>
        <v>0</v>
      </c>
      <c r="J46" s="6"/>
      <c r="K46" s="1"/>
      <c r="M46" s="5"/>
      <c r="N46" s="6" t="s">
        <v>24</v>
      </c>
      <c r="O46" s="6" t="s">
        <v>12</v>
      </c>
      <c r="P46" s="6"/>
      <c r="Q46" s="6"/>
      <c r="R46" s="6"/>
      <c r="S46" s="19"/>
      <c r="T46" s="6"/>
      <c r="U46" s="21"/>
      <c r="V46" s="6"/>
      <c r="Y46" s="8"/>
      <c r="Z46" s="5" t="s">
        <v>3</v>
      </c>
      <c r="AA46" s="6"/>
      <c r="AB46" s="6"/>
      <c r="AC46" s="7" t="s">
        <v>2</v>
      </c>
      <c r="AD46" s="7"/>
      <c r="AE46" s="18" t="s">
        <v>28</v>
      </c>
      <c r="AF46" s="7"/>
      <c r="AG46" s="20" t="s">
        <v>29</v>
      </c>
      <c r="AH46" s="6"/>
    </row>
    <row r="47" spans="1:34" s="1" customFormat="1" ht="14.65" thickBot="1" x14ac:dyDescent="0.5">
      <c r="A47" s="6"/>
      <c r="B47" s="6"/>
      <c r="C47" s="6"/>
      <c r="D47" s="6"/>
      <c r="E47" s="6"/>
      <c r="F47" s="11"/>
      <c r="G47" s="6"/>
      <c r="H47" s="6"/>
      <c r="I47" s="6"/>
      <c r="J47" s="6"/>
      <c r="L47"/>
      <c r="M47" s="8"/>
      <c r="N47" s="5" t="s">
        <v>3</v>
      </c>
      <c r="O47" s="6"/>
      <c r="P47" s="6"/>
      <c r="Q47" s="6"/>
      <c r="R47" s="6"/>
      <c r="S47" s="6"/>
      <c r="T47" s="6" t="s">
        <v>4</v>
      </c>
      <c r="U47" s="6"/>
      <c r="V47" s="6"/>
      <c r="Y47" s="8"/>
      <c r="Z47" s="6" t="s">
        <v>0</v>
      </c>
      <c r="AA47" s="6" t="s">
        <v>1</v>
      </c>
      <c r="AB47" s="6"/>
      <c r="AC47" s="6"/>
      <c r="AD47" s="6"/>
      <c r="AE47" s="19"/>
      <c r="AF47" s="6"/>
      <c r="AG47" s="21"/>
      <c r="AH47" s="6"/>
    </row>
    <row r="48" spans="1:34" ht="16.149999999999999" thickBot="1" x14ac:dyDescent="0.6">
      <c r="A48" s="6"/>
      <c r="B48" s="6"/>
      <c r="C48" s="6"/>
      <c r="D48" s="6"/>
      <c r="E48" s="15" t="s">
        <v>5</v>
      </c>
      <c r="F48" s="11"/>
      <c r="G48" s="16" t="s">
        <v>9</v>
      </c>
      <c r="H48" s="17"/>
      <c r="I48" s="17"/>
      <c r="J48" s="17"/>
      <c r="K48" s="17"/>
      <c r="L48" s="17"/>
      <c r="M48" s="8"/>
      <c r="N48" s="6" t="s">
        <v>0</v>
      </c>
      <c r="O48" s="6" t="s">
        <v>1</v>
      </c>
      <c r="P48" s="6"/>
      <c r="Q48" s="7" t="s">
        <v>2</v>
      </c>
      <c r="R48" s="7"/>
      <c r="S48" s="18" t="s">
        <v>28</v>
      </c>
      <c r="T48" s="7"/>
      <c r="U48" s="20" t="s">
        <v>29</v>
      </c>
      <c r="V48" s="6"/>
      <c r="Y48" s="6"/>
      <c r="Z48" s="6">
        <v>5</v>
      </c>
      <c r="AA48" s="6">
        <v>15</v>
      </c>
      <c r="AB48" s="6" t="s">
        <v>6</v>
      </c>
      <c r="AC48" s="6">
        <v>1</v>
      </c>
      <c r="AD48" s="6"/>
      <c r="AE48" s="19">
        <f>AC48*((5-AC48)/0.5+15)</f>
        <v>23</v>
      </c>
      <c r="AF48" s="6"/>
      <c r="AG48" s="21">
        <f>AC48*((5-AC48)/2+15)</f>
        <v>17</v>
      </c>
      <c r="AH48" s="6"/>
    </row>
    <row r="49" spans="1:34" x14ac:dyDescent="0.45">
      <c r="A49" s="6"/>
      <c r="B49" s="6"/>
      <c r="C49" s="6"/>
      <c r="D49" s="6"/>
      <c r="E49" s="6"/>
      <c r="F49" s="11"/>
      <c r="G49" s="16" t="s">
        <v>22</v>
      </c>
      <c r="H49" s="17"/>
      <c r="I49" s="17"/>
      <c r="J49" s="17"/>
      <c r="K49" s="17"/>
      <c r="L49" s="17"/>
      <c r="M49" s="6"/>
      <c r="N49" s="6">
        <v>5</v>
      </c>
      <c r="O49" s="6">
        <v>15</v>
      </c>
      <c r="P49" s="6"/>
      <c r="Q49" s="6"/>
      <c r="R49" s="6"/>
      <c r="S49" s="19"/>
      <c r="T49" s="6"/>
      <c r="U49" s="21"/>
      <c r="V49" s="6"/>
      <c r="Y49" s="6"/>
      <c r="Z49" s="5"/>
      <c r="AA49" s="6"/>
      <c r="AB49" s="6"/>
      <c r="AC49" s="6">
        <v>2</v>
      </c>
      <c r="AD49" s="6"/>
      <c r="AE49" s="19">
        <f t="shared" ref="AE49:AE59" si="14">AC49*((5-AC49)/0.5+15)</f>
        <v>42</v>
      </c>
      <c r="AF49" s="6"/>
      <c r="AG49" s="21">
        <f t="shared" ref="AG49:AG59" si="15">AC49*((5-AC49)/2+15)</f>
        <v>33</v>
      </c>
      <c r="AH49" s="6"/>
    </row>
    <row r="50" spans="1:34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3"/>
      <c r="K50" s="1"/>
      <c r="M50" s="6"/>
      <c r="N50" s="5"/>
      <c r="O50" s="6"/>
      <c r="P50" s="6" t="s">
        <v>6</v>
      </c>
      <c r="Q50" s="6">
        <v>1</v>
      </c>
      <c r="R50" s="6"/>
      <c r="S50" s="19">
        <f>Q50*((5-Q50)/0.5+15)</f>
        <v>23</v>
      </c>
      <c r="T50" s="6"/>
      <c r="U50" s="21">
        <f>Q50*((5-Q50)/2+15)</f>
        <v>17</v>
      </c>
      <c r="V50" s="6"/>
      <c r="Y50" s="6"/>
      <c r="Z50" s="5"/>
      <c r="AA50" s="6"/>
      <c r="AB50" s="6"/>
      <c r="AC50" s="6">
        <v>3</v>
      </c>
      <c r="AD50" s="6"/>
      <c r="AE50" s="19">
        <f t="shared" si="14"/>
        <v>57</v>
      </c>
      <c r="AF50" s="6"/>
      <c r="AG50" s="21">
        <f t="shared" si="15"/>
        <v>48</v>
      </c>
      <c r="AH50" s="6"/>
    </row>
    <row r="51" spans="1:34" x14ac:dyDescent="0.45">
      <c r="A51" s="6"/>
      <c r="B51" s="6" t="s">
        <v>15</v>
      </c>
      <c r="C51" s="6" t="s">
        <v>34</v>
      </c>
      <c r="D51" s="6"/>
      <c r="E51" s="6"/>
      <c r="F51" s="11"/>
      <c r="G51" s="6"/>
      <c r="H51" s="6"/>
      <c r="I51" s="6"/>
      <c r="J51" s="6"/>
      <c r="K51" s="1"/>
      <c r="M51" s="6"/>
      <c r="N51" s="5"/>
      <c r="O51" s="6"/>
      <c r="P51" s="6"/>
      <c r="Q51" s="6">
        <v>2</v>
      </c>
      <c r="R51" s="6"/>
      <c r="S51" s="19">
        <f t="shared" ref="S51:S61" si="16">Q51*((5-Q51)/0.5+15)</f>
        <v>42</v>
      </c>
      <c r="T51" s="6"/>
      <c r="U51" s="21">
        <f t="shared" ref="U51:U61" si="17">Q51*((5-Q51)/2+15)</f>
        <v>33</v>
      </c>
      <c r="V51" s="6"/>
      <c r="Y51" s="6"/>
      <c r="Z51" s="8"/>
      <c r="AA51" s="6"/>
      <c r="AB51" s="6"/>
      <c r="AC51" s="6">
        <v>4</v>
      </c>
      <c r="AD51" s="6"/>
      <c r="AE51" s="19">
        <f t="shared" si="14"/>
        <v>68</v>
      </c>
      <c r="AF51" s="6"/>
      <c r="AG51" s="21">
        <f t="shared" si="15"/>
        <v>62</v>
      </c>
      <c r="AH51" s="6"/>
    </row>
    <row r="52" spans="1:34" x14ac:dyDescent="0.45">
      <c r="A52" s="5"/>
      <c r="B52" s="5" t="s">
        <v>3</v>
      </c>
      <c r="C52" s="11"/>
      <c r="D52" s="11"/>
      <c r="E52" s="6"/>
      <c r="F52" s="6"/>
      <c r="G52" s="6"/>
      <c r="H52" s="6" t="s">
        <v>4</v>
      </c>
      <c r="I52" s="6"/>
      <c r="J52" s="6"/>
      <c r="K52" s="1"/>
      <c r="M52" s="6"/>
      <c r="N52" s="5" t="s">
        <v>17</v>
      </c>
      <c r="O52" s="6"/>
      <c r="P52" s="6"/>
      <c r="Q52" s="6">
        <v>3</v>
      </c>
      <c r="R52" s="6"/>
      <c r="S52" s="19">
        <f t="shared" si="16"/>
        <v>57</v>
      </c>
      <c r="T52" s="6"/>
      <c r="U52" s="21">
        <f t="shared" si="17"/>
        <v>48</v>
      </c>
      <c r="V52" s="6"/>
      <c r="Y52" s="6"/>
      <c r="Z52" s="8"/>
      <c r="AA52" s="9"/>
      <c r="AB52" s="6"/>
      <c r="AC52" s="6">
        <v>5</v>
      </c>
      <c r="AD52" s="6"/>
      <c r="AE52" s="19">
        <f t="shared" si="14"/>
        <v>75</v>
      </c>
      <c r="AF52" s="6"/>
      <c r="AG52" s="21">
        <f t="shared" si="15"/>
        <v>75</v>
      </c>
      <c r="AH52" s="6"/>
    </row>
    <row r="53" spans="1:34" ht="15.75" x14ac:dyDescent="0.55000000000000004">
      <c r="A53" s="6"/>
      <c r="B53" s="6" t="s">
        <v>0</v>
      </c>
      <c r="C53" s="6" t="s">
        <v>1</v>
      </c>
      <c r="D53" s="6"/>
      <c r="E53" s="7" t="s">
        <v>2</v>
      </c>
      <c r="F53" s="7"/>
      <c r="G53" s="18" t="s">
        <v>28</v>
      </c>
      <c r="H53" s="7"/>
      <c r="I53" s="20" t="s">
        <v>29</v>
      </c>
      <c r="J53" s="6"/>
      <c r="K53" s="1"/>
      <c r="M53" s="6"/>
      <c r="N53" s="8" t="s">
        <v>16</v>
      </c>
      <c r="O53" s="6"/>
      <c r="P53" s="6"/>
      <c r="Q53" s="6">
        <v>4</v>
      </c>
      <c r="R53" s="6"/>
      <c r="S53" s="19">
        <f t="shared" si="16"/>
        <v>68</v>
      </c>
      <c r="T53" s="6"/>
      <c r="U53" s="21">
        <f t="shared" si="17"/>
        <v>62</v>
      </c>
      <c r="V53" s="6"/>
      <c r="Y53" s="6"/>
      <c r="Z53" s="6"/>
      <c r="AA53" s="6"/>
      <c r="AB53" s="6"/>
      <c r="AC53" s="6">
        <v>6</v>
      </c>
      <c r="AD53" s="6"/>
      <c r="AE53" s="19">
        <f t="shared" si="14"/>
        <v>78</v>
      </c>
      <c r="AF53" s="6"/>
      <c r="AG53" s="21">
        <f t="shared" si="15"/>
        <v>87</v>
      </c>
      <c r="AH53" s="6"/>
    </row>
    <row r="54" spans="1:34" ht="15.75" x14ac:dyDescent="0.55000000000000004">
      <c r="A54" s="6"/>
      <c r="B54" s="6">
        <v>15</v>
      </c>
      <c r="C54" s="6">
        <v>5</v>
      </c>
      <c r="D54" s="6"/>
      <c r="E54" s="6"/>
      <c r="F54" s="6"/>
      <c r="G54" s="19"/>
      <c r="H54" s="6"/>
      <c r="I54" s="21"/>
      <c r="J54" s="6"/>
      <c r="K54" s="1"/>
      <c r="M54" s="6"/>
      <c r="N54" s="8" t="s">
        <v>18</v>
      </c>
      <c r="O54" s="9" t="s">
        <v>30</v>
      </c>
      <c r="P54" s="6"/>
      <c r="Q54" s="6">
        <v>5</v>
      </c>
      <c r="R54" s="6"/>
      <c r="S54" s="19">
        <f t="shared" si="16"/>
        <v>75</v>
      </c>
      <c r="T54" s="6"/>
      <c r="U54" s="21">
        <f t="shared" si="17"/>
        <v>75</v>
      </c>
      <c r="V54" s="6"/>
      <c r="Y54" s="6"/>
      <c r="Z54" s="6"/>
      <c r="AA54" s="6"/>
      <c r="AB54" s="6"/>
      <c r="AC54" s="6">
        <v>7</v>
      </c>
      <c r="AD54" s="6"/>
      <c r="AE54" s="19">
        <f t="shared" si="14"/>
        <v>77</v>
      </c>
      <c r="AF54" s="6"/>
      <c r="AG54" s="21">
        <f t="shared" si="15"/>
        <v>98</v>
      </c>
      <c r="AH54" s="6"/>
    </row>
    <row r="55" spans="1:34" x14ac:dyDescent="0.45">
      <c r="A55" s="5"/>
      <c r="B55" s="5"/>
      <c r="C55" s="6"/>
      <c r="D55" s="6" t="s">
        <v>6</v>
      </c>
      <c r="E55" s="6">
        <v>1</v>
      </c>
      <c r="F55" s="6"/>
      <c r="G55" s="19">
        <f>E55*((15-E55)/0.5+5)</f>
        <v>33</v>
      </c>
      <c r="H55" s="6"/>
      <c r="I55" s="21">
        <f>E55*((15-E55)/2+5)</f>
        <v>12</v>
      </c>
      <c r="J55" s="6"/>
      <c r="K55" s="1"/>
      <c r="M55" s="6"/>
      <c r="N55" s="6"/>
      <c r="O55" s="6"/>
      <c r="P55" s="6"/>
      <c r="Q55" s="6">
        <v>6</v>
      </c>
      <c r="R55" s="6"/>
      <c r="S55" s="19">
        <f t="shared" si="16"/>
        <v>78</v>
      </c>
      <c r="T55" s="6"/>
      <c r="U55" s="21">
        <f t="shared" si="17"/>
        <v>87</v>
      </c>
      <c r="V55" s="6"/>
      <c r="Y55" s="6"/>
      <c r="Z55" s="6"/>
      <c r="AA55" s="6"/>
      <c r="AB55" s="6"/>
      <c r="AC55" s="6">
        <v>8</v>
      </c>
      <c r="AD55" s="6"/>
      <c r="AE55" s="19">
        <f t="shared" si="14"/>
        <v>72</v>
      </c>
      <c r="AF55" s="6"/>
      <c r="AG55" s="21">
        <f t="shared" si="15"/>
        <v>108</v>
      </c>
      <c r="AH55" s="6"/>
    </row>
    <row r="56" spans="1:34" x14ac:dyDescent="0.45">
      <c r="A56" s="5"/>
      <c r="B56" s="5"/>
      <c r="C56" s="6"/>
      <c r="D56" s="6"/>
      <c r="E56" s="6">
        <v>2</v>
      </c>
      <c r="F56" s="6"/>
      <c r="G56" s="19">
        <f t="shared" ref="G56:G73" si="18">E56*((15-E56)/0.5+5)</f>
        <v>62</v>
      </c>
      <c r="H56" s="6"/>
      <c r="I56" s="21">
        <f t="shared" ref="I56:I73" si="19">E56*((15-E56)/2+5)</f>
        <v>23</v>
      </c>
      <c r="J56" s="6"/>
      <c r="K56" s="1"/>
      <c r="M56" s="6"/>
      <c r="N56" s="6"/>
      <c r="O56" s="6"/>
      <c r="P56" s="6"/>
      <c r="Q56" s="6">
        <v>7</v>
      </c>
      <c r="R56" s="6"/>
      <c r="S56" s="19">
        <f t="shared" si="16"/>
        <v>77</v>
      </c>
      <c r="T56" s="6"/>
      <c r="U56" s="21">
        <f t="shared" si="17"/>
        <v>98</v>
      </c>
      <c r="V56" s="6"/>
      <c r="Y56" s="6"/>
      <c r="Z56" s="6"/>
      <c r="AA56" s="6"/>
      <c r="AB56" s="6"/>
      <c r="AC56" s="6">
        <v>9</v>
      </c>
      <c r="AD56" s="6"/>
      <c r="AE56" s="19">
        <f t="shared" si="14"/>
        <v>63</v>
      </c>
      <c r="AF56" s="6"/>
      <c r="AG56" s="21">
        <f t="shared" si="15"/>
        <v>117</v>
      </c>
      <c r="AH56" s="6"/>
    </row>
    <row r="57" spans="1:34" x14ac:dyDescent="0.45">
      <c r="A57" s="5"/>
      <c r="B57" s="5" t="s">
        <v>17</v>
      </c>
      <c r="C57" s="6"/>
      <c r="D57" s="6"/>
      <c r="E57" s="6">
        <v>3</v>
      </c>
      <c r="F57" s="6"/>
      <c r="G57" s="19">
        <f t="shared" si="18"/>
        <v>87</v>
      </c>
      <c r="H57" s="6"/>
      <c r="I57" s="21">
        <f t="shared" si="19"/>
        <v>33</v>
      </c>
      <c r="J57" s="6"/>
      <c r="K57" s="1"/>
      <c r="M57" s="6"/>
      <c r="N57" s="6"/>
      <c r="O57" s="6"/>
      <c r="P57" s="6"/>
      <c r="Q57" s="6">
        <v>8</v>
      </c>
      <c r="R57" s="6"/>
      <c r="S57" s="19">
        <f t="shared" si="16"/>
        <v>72</v>
      </c>
      <c r="T57" s="6"/>
      <c r="U57" s="21">
        <f t="shared" si="17"/>
        <v>108</v>
      </c>
      <c r="V57" s="6"/>
      <c r="Y57" s="6"/>
      <c r="Z57" s="6"/>
      <c r="AA57" s="6"/>
      <c r="AB57" s="6"/>
      <c r="AC57" s="6">
        <v>10</v>
      </c>
      <c r="AD57" s="6"/>
      <c r="AE57" s="19">
        <f t="shared" si="14"/>
        <v>50</v>
      </c>
      <c r="AF57" s="6"/>
      <c r="AG57" s="21">
        <f t="shared" si="15"/>
        <v>125</v>
      </c>
      <c r="AH57" s="6"/>
    </row>
    <row r="58" spans="1:34" x14ac:dyDescent="0.45">
      <c r="A58" s="8"/>
      <c r="B58" s="8" t="s">
        <v>16</v>
      </c>
      <c r="C58" s="6"/>
      <c r="D58" s="6"/>
      <c r="E58" s="6">
        <v>4</v>
      </c>
      <c r="F58" s="6"/>
      <c r="G58" s="19">
        <f t="shared" si="18"/>
        <v>108</v>
      </c>
      <c r="H58" s="6"/>
      <c r="I58" s="21">
        <f t="shared" si="19"/>
        <v>42</v>
      </c>
      <c r="J58" s="6"/>
      <c r="K58" s="1"/>
      <c r="M58" s="6"/>
      <c r="N58" s="6"/>
      <c r="O58" s="6"/>
      <c r="P58" s="6"/>
      <c r="Q58" s="6">
        <v>9</v>
      </c>
      <c r="R58" s="6"/>
      <c r="S58" s="19">
        <f t="shared" si="16"/>
        <v>63</v>
      </c>
      <c r="T58" s="6"/>
      <c r="U58" s="21">
        <f t="shared" si="17"/>
        <v>117</v>
      </c>
      <c r="V58" s="6"/>
      <c r="Y58" s="6"/>
      <c r="Z58" s="6"/>
      <c r="AA58" s="6"/>
      <c r="AB58" s="6"/>
      <c r="AC58" s="6">
        <v>11</v>
      </c>
      <c r="AD58" s="6"/>
      <c r="AE58" s="19">
        <f t="shared" si="14"/>
        <v>33</v>
      </c>
      <c r="AF58" s="6"/>
      <c r="AG58" s="21">
        <f t="shared" si="15"/>
        <v>132</v>
      </c>
      <c r="AH58" s="6"/>
    </row>
    <row r="59" spans="1:34" ht="15.75" x14ac:dyDescent="0.55000000000000004">
      <c r="A59" s="8"/>
      <c r="B59" s="8" t="s">
        <v>18</v>
      </c>
      <c r="C59" s="9" t="s">
        <v>30</v>
      </c>
      <c r="D59" s="6"/>
      <c r="E59" s="6">
        <v>5</v>
      </c>
      <c r="F59" s="6"/>
      <c r="G59" s="19">
        <f t="shared" si="18"/>
        <v>125</v>
      </c>
      <c r="H59" s="6"/>
      <c r="I59" s="21">
        <f t="shared" si="19"/>
        <v>50</v>
      </c>
      <c r="J59" s="6"/>
      <c r="K59" s="1"/>
      <c r="M59" s="6"/>
      <c r="N59" s="6"/>
      <c r="O59" s="6"/>
      <c r="P59" s="6"/>
      <c r="Q59" s="6">
        <v>10</v>
      </c>
      <c r="R59" s="6"/>
      <c r="S59" s="19">
        <f t="shared" si="16"/>
        <v>50</v>
      </c>
      <c r="T59" s="6"/>
      <c r="U59" s="21">
        <f t="shared" si="17"/>
        <v>125</v>
      </c>
      <c r="V59" s="6"/>
      <c r="Y59" s="6"/>
      <c r="Z59" s="6"/>
      <c r="AA59" s="6"/>
      <c r="AB59" s="6" t="s">
        <v>7</v>
      </c>
      <c r="AC59" s="6">
        <f>Z48+(AA48-1)/2</f>
        <v>12</v>
      </c>
      <c r="AD59" s="6"/>
      <c r="AE59" s="19">
        <f t="shared" si="14"/>
        <v>12</v>
      </c>
      <c r="AF59" s="6"/>
      <c r="AG59" s="21">
        <f t="shared" si="15"/>
        <v>138</v>
      </c>
      <c r="AH59" s="6"/>
    </row>
    <row r="60" spans="1:34" x14ac:dyDescent="0.45">
      <c r="A60" s="6"/>
      <c r="B60" s="6"/>
      <c r="C60" s="6"/>
      <c r="D60" s="6"/>
      <c r="E60" s="6">
        <v>6</v>
      </c>
      <c r="F60" s="6"/>
      <c r="G60" s="19">
        <f t="shared" si="18"/>
        <v>138</v>
      </c>
      <c r="H60" s="6"/>
      <c r="I60" s="21">
        <f t="shared" si="19"/>
        <v>57</v>
      </c>
      <c r="J60" s="6"/>
      <c r="K60" s="1"/>
      <c r="M60" s="6"/>
      <c r="N60" s="6"/>
      <c r="O60" s="6"/>
      <c r="P60" s="6"/>
      <c r="Q60" s="6">
        <v>11</v>
      </c>
      <c r="R60" s="6"/>
      <c r="S60" s="19">
        <f t="shared" si="16"/>
        <v>33</v>
      </c>
      <c r="T60" s="6"/>
      <c r="U60" s="21">
        <f t="shared" si="17"/>
        <v>132</v>
      </c>
      <c r="V60" s="6"/>
      <c r="Y60" s="6"/>
      <c r="Z60" s="6"/>
      <c r="AA60" s="6"/>
      <c r="AB60" s="6"/>
      <c r="AC60" s="6"/>
      <c r="AD60" s="6"/>
      <c r="AE60" s="19"/>
      <c r="AF60" s="6"/>
      <c r="AG60" s="21"/>
      <c r="AH60" s="6"/>
    </row>
    <row r="61" spans="1:34" x14ac:dyDescent="0.45">
      <c r="A61" s="6"/>
      <c r="B61" s="6"/>
      <c r="C61" s="6"/>
      <c r="D61" s="6"/>
      <c r="E61" s="6">
        <v>7</v>
      </c>
      <c r="F61" s="6"/>
      <c r="G61" s="19">
        <f t="shared" si="18"/>
        <v>147</v>
      </c>
      <c r="H61" s="6"/>
      <c r="I61" s="21">
        <f t="shared" si="19"/>
        <v>63</v>
      </c>
      <c r="J61" s="6"/>
      <c r="K61" s="1"/>
      <c r="M61" s="6"/>
      <c r="N61" s="6"/>
      <c r="O61" s="6"/>
      <c r="P61" s="6" t="s">
        <v>7</v>
      </c>
      <c r="Q61" s="6">
        <f>N49+(O49-1)/2</f>
        <v>12</v>
      </c>
      <c r="R61" s="6"/>
      <c r="S61" s="19">
        <f t="shared" si="16"/>
        <v>12</v>
      </c>
      <c r="T61" s="6"/>
      <c r="U61" s="21">
        <f t="shared" si="17"/>
        <v>138</v>
      </c>
      <c r="V61" s="6"/>
      <c r="Y61" s="6"/>
      <c r="Z61" s="6"/>
      <c r="AA61" s="6"/>
      <c r="AB61" s="10" t="s">
        <v>32</v>
      </c>
      <c r="AC61" s="6">
        <v>8.6</v>
      </c>
      <c r="AD61" s="6"/>
      <c r="AE61" s="19">
        <f t="shared" ref="AE61" si="20">AC61*((5-AC61)/0.5+15)</f>
        <v>67.08</v>
      </c>
      <c r="AF61" s="6"/>
      <c r="AG61" s="21">
        <f t="shared" ref="AG61" si="21">AC61*((5-AC61)/2+15)</f>
        <v>113.52</v>
      </c>
      <c r="AH61" s="6"/>
    </row>
    <row r="62" spans="1:34" ht="14.65" thickBot="1" x14ac:dyDescent="0.5">
      <c r="A62" s="6"/>
      <c r="B62" s="6"/>
      <c r="C62" s="6"/>
      <c r="D62" s="6"/>
      <c r="E62" s="6">
        <v>8</v>
      </c>
      <c r="F62" s="6"/>
      <c r="G62" s="19">
        <f t="shared" si="18"/>
        <v>152</v>
      </c>
      <c r="H62" s="6"/>
      <c r="I62" s="21">
        <f t="shared" si="19"/>
        <v>68</v>
      </c>
      <c r="J62" s="6"/>
      <c r="K62" s="1"/>
      <c r="M62" s="6"/>
      <c r="N62" s="6"/>
      <c r="O62" s="6"/>
      <c r="P62" s="6"/>
      <c r="Q62" s="6"/>
      <c r="R62" s="6"/>
      <c r="S62" s="19"/>
      <c r="T62" s="6"/>
      <c r="U62" s="21"/>
      <c r="V62" s="6"/>
      <c r="Y62" s="6"/>
      <c r="Z62" s="6"/>
      <c r="AA62" s="6"/>
      <c r="AB62" s="6"/>
      <c r="AC62" s="6"/>
      <c r="AD62" s="11"/>
      <c r="AE62" s="6"/>
      <c r="AF62" s="6"/>
      <c r="AG62" s="6"/>
      <c r="AH62" s="6"/>
    </row>
    <row r="63" spans="1:34" ht="16.149999999999999" thickBot="1" x14ac:dyDescent="0.6">
      <c r="A63" s="6"/>
      <c r="B63" s="6"/>
      <c r="C63" s="6"/>
      <c r="D63" s="6"/>
      <c r="E63" s="6">
        <v>9</v>
      </c>
      <c r="F63" s="6"/>
      <c r="G63" s="19">
        <f t="shared" si="18"/>
        <v>153</v>
      </c>
      <c r="H63" s="6"/>
      <c r="I63" s="21">
        <f t="shared" si="19"/>
        <v>72</v>
      </c>
      <c r="J63" s="6"/>
      <c r="K63" s="1"/>
      <c r="M63" s="6"/>
      <c r="N63" s="6"/>
      <c r="O63" s="6"/>
      <c r="P63" s="10" t="s">
        <v>8</v>
      </c>
      <c r="Q63" s="22"/>
      <c r="R63" s="6"/>
      <c r="S63" s="19">
        <f t="shared" ref="S63" si="22">Q63*((5-Q63)/0.5+15)</f>
        <v>0</v>
      </c>
      <c r="T63" s="6"/>
      <c r="U63" s="21">
        <f t="shared" ref="U63" si="23">Q63*((5-Q63)/2+15)</f>
        <v>0</v>
      </c>
      <c r="V63" s="6"/>
      <c r="Y63" s="6"/>
      <c r="Z63" s="6"/>
      <c r="AA63" s="6"/>
      <c r="AB63" s="6"/>
      <c r="AC63" s="23" t="s">
        <v>31</v>
      </c>
      <c r="AD63" s="6"/>
      <c r="AE63" s="6"/>
      <c r="AF63" s="6"/>
      <c r="AG63" s="6"/>
      <c r="AH63" s="6"/>
    </row>
    <row r="64" spans="1:34" ht="14.65" thickBot="1" x14ac:dyDescent="0.5">
      <c r="A64" s="6"/>
      <c r="B64" s="6"/>
      <c r="C64" s="6"/>
      <c r="D64" s="6"/>
      <c r="E64" s="6">
        <v>10</v>
      </c>
      <c r="F64" s="6"/>
      <c r="G64" s="19">
        <f t="shared" si="18"/>
        <v>150</v>
      </c>
      <c r="H64" s="6"/>
      <c r="I64" s="21">
        <f t="shared" si="19"/>
        <v>75</v>
      </c>
      <c r="J64" s="6"/>
      <c r="K64" s="1"/>
      <c r="M64" s="6"/>
      <c r="N64" s="6"/>
      <c r="O64" s="6"/>
      <c r="P64" s="6"/>
      <c r="Q64" s="6"/>
      <c r="R64" s="11"/>
      <c r="S64" s="6"/>
      <c r="T64" s="6"/>
      <c r="U64" s="6"/>
      <c r="V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t="14.65" thickBot="1" x14ac:dyDescent="0.5">
      <c r="A65" s="6"/>
      <c r="B65" s="6"/>
      <c r="C65" s="6"/>
      <c r="D65" s="6"/>
      <c r="E65" s="6">
        <v>11</v>
      </c>
      <c r="F65" s="6"/>
      <c r="G65" s="19">
        <f t="shared" si="18"/>
        <v>143</v>
      </c>
      <c r="H65" s="6"/>
      <c r="I65" s="21">
        <f t="shared" si="19"/>
        <v>77</v>
      </c>
      <c r="J65" s="6"/>
      <c r="K65" s="1"/>
      <c r="M65" s="6"/>
      <c r="N65" s="6"/>
      <c r="O65" s="6"/>
      <c r="P65" s="6"/>
      <c r="Q65" s="15" t="s">
        <v>5</v>
      </c>
      <c r="R65" s="11"/>
      <c r="S65" s="16" t="s">
        <v>9</v>
      </c>
      <c r="T65" s="17"/>
      <c r="U65" s="17"/>
      <c r="V65" s="17"/>
      <c r="Y65" s="6"/>
      <c r="Z65" s="6"/>
      <c r="AA65" s="16">
        <v>0</v>
      </c>
      <c r="AB65" s="17"/>
      <c r="AC65" s="17"/>
      <c r="AD65" s="17"/>
      <c r="AE65" s="17"/>
      <c r="AF65" s="17"/>
      <c r="AG65" s="24">
        <v>1</v>
      </c>
      <c r="AH65" s="6"/>
    </row>
    <row r="66" spans="1:34" ht="14.65" thickBot="1" x14ac:dyDescent="0.5">
      <c r="A66" s="6"/>
      <c r="B66" s="6"/>
      <c r="C66" s="6"/>
      <c r="D66" s="6"/>
      <c r="E66" s="6">
        <v>12</v>
      </c>
      <c r="F66" s="6"/>
      <c r="G66" s="19">
        <f t="shared" si="18"/>
        <v>132</v>
      </c>
      <c r="H66" s="6"/>
      <c r="I66" s="21">
        <f t="shared" si="19"/>
        <v>78</v>
      </c>
      <c r="J66" s="6"/>
      <c r="K66" s="1"/>
      <c r="M66" s="6"/>
      <c r="N66" s="6"/>
      <c r="O66" s="6"/>
      <c r="P66" s="6"/>
      <c r="Q66" s="6"/>
      <c r="R66" s="11"/>
      <c r="S66" s="16" t="s">
        <v>22</v>
      </c>
      <c r="T66" s="17"/>
      <c r="U66" s="17"/>
      <c r="V66" s="17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t="14.65" thickBot="1" x14ac:dyDescent="0.5">
      <c r="A67" s="6"/>
      <c r="B67" s="6"/>
      <c r="C67" s="6"/>
      <c r="D67" s="6"/>
      <c r="E67" s="6">
        <v>13</v>
      </c>
      <c r="F67" s="6"/>
      <c r="G67" s="19">
        <f t="shared" si="18"/>
        <v>117</v>
      </c>
      <c r="H67" s="6"/>
      <c r="I67" s="21">
        <f t="shared" si="19"/>
        <v>78</v>
      </c>
      <c r="J67" s="6"/>
      <c r="K67" s="1"/>
      <c r="M67" s="12"/>
      <c r="N67" s="12"/>
      <c r="O67" s="12"/>
      <c r="P67" s="12"/>
      <c r="Q67" s="12"/>
      <c r="R67" s="12"/>
      <c r="S67" s="12"/>
      <c r="T67" s="12"/>
      <c r="U67" s="12"/>
      <c r="V67" s="13"/>
      <c r="Y67" s="5"/>
      <c r="Z67" s="6"/>
      <c r="AA67" s="6"/>
      <c r="AB67" s="6"/>
      <c r="AC67" s="22" t="s">
        <v>14</v>
      </c>
      <c r="AD67" s="6"/>
      <c r="AE67" s="25" t="s">
        <v>20</v>
      </c>
      <c r="AF67" s="6"/>
      <c r="AG67" s="6"/>
      <c r="AH67" s="6"/>
    </row>
    <row r="68" spans="1:34" ht="14.65" thickBot="1" x14ac:dyDescent="0.5">
      <c r="A68" s="6"/>
      <c r="B68" s="6"/>
      <c r="C68" s="6"/>
      <c r="D68" s="6"/>
      <c r="E68" s="6">
        <v>14</v>
      </c>
      <c r="F68" s="6"/>
      <c r="G68" s="19">
        <f t="shared" si="18"/>
        <v>98</v>
      </c>
      <c r="H68" s="6"/>
      <c r="I68" s="21">
        <f t="shared" si="19"/>
        <v>77</v>
      </c>
      <c r="J68" s="6"/>
      <c r="K68" s="1"/>
      <c r="V68"/>
      <c r="Y68" s="6"/>
      <c r="Z68" s="6"/>
      <c r="AA68" s="6"/>
      <c r="AB68" s="6"/>
      <c r="AC68" s="6"/>
      <c r="AD68" s="6"/>
      <c r="AE68" s="25" t="s">
        <v>21</v>
      </c>
      <c r="AF68" s="6"/>
      <c r="AG68" s="6"/>
      <c r="AH68" s="6"/>
    </row>
    <row r="69" spans="1:34" ht="14.65" thickBot="1" x14ac:dyDescent="0.5">
      <c r="A69" s="6"/>
      <c r="B69" s="6"/>
      <c r="C69" s="6"/>
      <c r="D69" s="6"/>
      <c r="E69" s="6">
        <v>15</v>
      </c>
      <c r="F69" s="6"/>
      <c r="G69" s="19">
        <f t="shared" si="18"/>
        <v>75</v>
      </c>
      <c r="H69" s="6"/>
      <c r="I69" s="21">
        <f t="shared" si="19"/>
        <v>75</v>
      </c>
      <c r="J69" s="6"/>
      <c r="V69"/>
      <c r="Y69" s="6"/>
      <c r="Z69" s="6"/>
      <c r="AA69" s="6"/>
      <c r="AB69" s="6"/>
      <c r="AC69" s="15" t="s">
        <v>5</v>
      </c>
      <c r="AD69" s="6"/>
      <c r="AE69" s="6"/>
      <c r="AF69" s="6"/>
      <c r="AG69" s="6"/>
      <c r="AH69" s="6"/>
    </row>
    <row r="70" spans="1:34" x14ac:dyDescent="0.45">
      <c r="A70" s="6"/>
      <c r="B70" s="6"/>
      <c r="C70" s="6"/>
      <c r="D70" s="6"/>
      <c r="E70" s="6">
        <v>16</v>
      </c>
      <c r="F70" s="6"/>
      <c r="G70" s="19">
        <f t="shared" si="18"/>
        <v>48</v>
      </c>
      <c r="H70" s="6"/>
      <c r="I70" s="21">
        <f t="shared" si="19"/>
        <v>72</v>
      </c>
      <c r="J70" s="6"/>
      <c r="V70"/>
      <c r="Y70" s="5"/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6"/>
      <c r="B71" s="6"/>
      <c r="C71" s="6"/>
      <c r="D71" s="6" t="s">
        <v>7</v>
      </c>
      <c r="E71" s="6">
        <f>B54+(C54-1)/2</f>
        <v>17</v>
      </c>
      <c r="F71" s="6"/>
      <c r="G71" s="19">
        <f t="shared" si="18"/>
        <v>17</v>
      </c>
      <c r="H71" s="6"/>
      <c r="I71" s="21">
        <f t="shared" si="19"/>
        <v>68</v>
      </c>
      <c r="J71" s="6"/>
      <c r="K71" s="1"/>
      <c r="V71"/>
    </row>
    <row r="72" spans="1:34" ht="14.65" thickBot="1" x14ac:dyDescent="0.5">
      <c r="A72" s="6"/>
      <c r="B72" s="6"/>
      <c r="C72" s="6"/>
      <c r="D72" s="6"/>
      <c r="E72" s="6"/>
      <c r="F72" s="6"/>
      <c r="G72" s="19"/>
      <c r="H72" s="6"/>
      <c r="I72" s="21"/>
      <c r="J72" s="6"/>
      <c r="V72"/>
    </row>
    <row r="73" spans="1:34" ht="14.65" thickBot="1" x14ac:dyDescent="0.5">
      <c r="A73" s="6"/>
      <c r="B73" s="6"/>
      <c r="C73" s="6"/>
      <c r="D73" s="10" t="s">
        <v>8</v>
      </c>
      <c r="E73" s="22"/>
      <c r="F73" s="6"/>
      <c r="G73" s="19">
        <f t="shared" si="18"/>
        <v>0</v>
      </c>
      <c r="H73" s="6"/>
      <c r="I73" s="21">
        <f t="shared" si="19"/>
        <v>0</v>
      </c>
      <c r="J73" s="6"/>
      <c r="V73"/>
    </row>
    <row r="74" spans="1:34" ht="14.65" thickBot="1" x14ac:dyDescent="0.5">
      <c r="A74" s="6"/>
      <c r="B74" s="6"/>
      <c r="C74" s="6"/>
      <c r="D74" s="10"/>
      <c r="E74" s="14"/>
      <c r="F74" s="6"/>
      <c r="G74" s="6"/>
      <c r="H74" s="6"/>
      <c r="I74" s="6"/>
      <c r="J74" s="6"/>
      <c r="V74"/>
    </row>
    <row r="75" spans="1:34" ht="14.65" thickBot="1" x14ac:dyDescent="0.5">
      <c r="A75" s="6"/>
      <c r="B75" s="6"/>
      <c r="C75" s="6"/>
      <c r="D75" s="6"/>
      <c r="E75" s="15" t="s">
        <v>5</v>
      </c>
      <c r="F75" s="11"/>
      <c r="G75" s="16" t="s">
        <v>9</v>
      </c>
      <c r="H75" s="17"/>
      <c r="I75" s="17"/>
      <c r="J75" s="17"/>
      <c r="K75" s="17"/>
      <c r="L75" s="17"/>
      <c r="V75"/>
    </row>
    <row r="76" spans="1:34" x14ac:dyDescent="0.45">
      <c r="A76" s="6"/>
      <c r="B76" s="6"/>
      <c r="C76" s="6"/>
      <c r="D76" s="10"/>
      <c r="E76" s="14"/>
      <c r="F76" s="6"/>
      <c r="G76" s="16" t="s">
        <v>10</v>
      </c>
      <c r="H76" s="17"/>
      <c r="I76" s="17"/>
      <c r="J76" s="17"/>
      <c r="K76" s="17"/>
      <c r="L76" s="17"/>
      <c r="V76"/>
    </row>
    <row r="77" spans="1:34" x14ac:dyDescent="0.45">
      <c r="A77" s="1"/>
      <c r="B77" s="1"/>
      <c r="C77" s="1"/>
      <c r="D77" s="1"/>
      <c r="E77" s="1"/>
      <c r="G77" s="1"/>
      <c r="H77" s="1"/>
      <c r="I77" s="1"/>
      <c r="J77" s="3"/>
      <c r="V77"/>
    </row>
    <row r="78" spans="1:34" x14ac:dyDescent="0.45">
      <c r="V78"/>
    </row>
    <row r="79" spans="1:34" x14ac:dyDescent="0.45">
      <c r="V79"/>
    </row>
    <row r="80" spans="1:34" x14ac:dyDescent="0.45">
      <c r="V80"/>
    </row>
    <row r="81" spans="22:22" x14ac:dyDescent="0.45">
      <c r="V81"/>
    </row>
    <row r="82" spans="22:22" x14ac:dyDescent="0.45">
      <c r="V82"/>
    </row>
    <row r="83" spans="22:22" x14ac:dyDescent="0.45">
      <c r="V83"/>
    </row>
    <row r="84" spans="22:22" x14ac:dyDescent="0.45">
      <c r="V84"/>
    </row>
    <row r="85" spans="22:22" x14ac:dyDescent="0.45">
      <c r="V85"/>
    </row>
    <row r="86" spans="22:22" x14ac:dyDescent="0.45">
      <c r="V86"/>
    </row>
    <row r="87" spans="22:22" x14ac:dyDescent="0.45">
      <c r="V87"/>
    </row>
    <row r="88" spans="22:22" x14ac:dyDescent="0.45">
      <c r="V88"/>
    </row>
    <row r="89" spans="22:22" x14ac:dyDescent="0.45">
      <c r="V89"/>
    </row>
    <row r="90" spans="22:22" x14ac:dyDescent="0.45">
      <c r="V90"/>
    </row>
    <row r="91" spans="22:22" x14ac:dyDescent="0.45">
      <c r="V91"/>
    </row>
    <row r="92" spans="22:22" x14ac:dyDescent="0.45">
      <c r="V92"/>
    </row>
    <row r="93" spans="22:22" x14ac:dyDescent="0.45">
      <c r="V93"/>
    </row>
    <row r="94" spans="22:22" x14ac:dyDescent="0.45">
      <c r="V94"/>
    </row>
    <row r="95" spans="22:22" x14ac:dyDescent="0.45">
      <c r="V95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 screens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frank.heinemann</dc:creator>
  <cp:lastModifiedBy>frank.heinemann</cp:lastModifiedBy>
  <dcterms:created xsi:type="dcterms:W3CDTF">2025-10-15T13:49:37Z</dcterms:created>
  <dcterms:modified xsi:type="dcterms:W3CDTF">2025-11-10T13:23:30Z</dcterms:modified>
</cp:coreProperties>
</file>